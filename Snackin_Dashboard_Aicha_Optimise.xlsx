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au de bord" state="visible" r:id="rId4"/>
    <sheet sheetId="2" name="Ventes" state="visible" r:id="rId5"/>
    <sheet sheetId="3" name="Dépenses" state="visible" r:id="rId6"/>
    <sheet sheetId="4" name="Feuille 1" state="visible" r:id="rId7"/>
    <sheet sheetId="5" name="Opportunités" state="visible" r:id="rId8"/>
    <sheet sheetId="6" name="Collaborations" state="visible" r:id="rId9"/>
    <sheet sheetId="7" name="Équipement" state="visible" r:id="rId10"/>
    <sheet sheetId="8" name="Checklist CEO" state="visible" r:id="rId11"/>
  </sheets>
  <calcPr calcId="171027"/>
</workbook>
</file>

<file path=xl/sharedStrings.xml><?xml version="1.0" encoding="utf-8"?>
<sst xmlns="http://schemas.openxmlformats.org/spreadsheetml/2006/main" count="113" uniqueCount="80">
  <si>
    <t>🍪 Snackin' — Tableau de bord</t>
  </si>
  <si>
    <t>Mois sélectionné</t>
  </si>
  <si>
    <t>2026-08</t>
  </si>
  <si>
    <t>Période affichée</t>
  </si>
  <si>
    <t>Chiffre d'affaires du mois</t>
  </si>
  <si>
    <t>💰 Situation actuelle (à mettre à jour manuellement)</t>
  </si>
  <si>
    <t>Argent en banque</t>
  </si>
  <si>
    <t>Argent comptant</t>
  </si>
  <si>
    <t>Nouveaux clients</t>
  </si>
  <si>
    <t>📊 Statistiques du mois sélectionné</t>
  </si>
  <si>
    <t>Dépenses du mois</t>
  </si>
  <si>
    <t>Profit du mois (CA − dépenses)</t>
  </si>
  <si>
    <t>Nombre de commandes</t>
  </si>
  <si>
    <t>Panier moyen</t>
  </si>
  <si>
    <t>Ventes site web</t>
  </si>
  <si>
    <t>📈 Synthèse</t>
  </si>
  <si>
    <t>Trésorerie totale (banque + comptant)</t>
  </si>
  <si>
    <t>Profit estimé global (trésorerie − dépenses du mois)</t>
  </si>
  <si>
    <t xml:space="preserve">Comment utiliser :
1. Choisissez le mois en B2 — les stats se mettent à jour automatiquement.
2. Mettez à jour banque/comptant (B6-B7) quand vous le souhaitez.
3. Ajoutez vos ventes dans « Ventes » et dépenses dans « Dépenses » (dates + montants).
4. Colonne G « Montant (num.) » dans Ventes est remplie automatiquement si vous entrez ex. 24$.</t>
  </si>
  <si>
    <t>Date</t>
  </si>
  <si>
    <t>Client</t>
  </si>
  <si>
    <t>Produit</t>
  </si>
  <si>
    <t>Montant</t>
  </si>
  <si>
    <t>Paiement</t>
  </si>
  <si>
    <t>Payé ?</t>
  </si>
  <si>
    <t>Montant (num.)</t>
  </si>
  <si>
    <t xml:space="preserve">Ciro Rios </t>
  </si>
  <si>
    <t xml:space="preserve">Boîte 1: 6 biscuits 1x Le Mont Rocher
2x The Orginal
2x Dulce Lava
1x Bis’coeur</t>
  </si>
  <si>
    <t xml:space="preserve">en Ligne </t>
  </si>
  <si>
    <t xml:space="preserve">confirmer </t>
  </si>
  <si>
    <t>Jemima Domagni</t>
  </si>
  <si>
    <t xml:space="preserve">Boîte 1: 6 biscuits 
2x Fetty Wap
1x The C'n'C
1x Le Mont Rocher
1x The Kinderly
1x Dulce Lava</t>
  </si>
  <si>
    <t>Gabrielle Deschenes</t>
  </si>
  <si>
    <t xml:space="preserve">Boîte 1: 6 biscuits 
1x The C'n'C
1x Bis’coeur
1x The Doughmallow
1x Fetty Wap
1x The Kinderly
1x Le Mont Rocher</t>
  </si>
  <si>
    <t>Khadija Diop</t>
  </si>
  <si>
    <t xml:space="preserve">Boîte 1: 4 biscuits 
1x Le Mont Rocher
1x The Kinderly
1x The C'n'C
1x Fetty Wap</t>
  </si>
  <si>
    <t xml:space="preserve">Arihanatou Kaba </t>
  </si>
  <si>
    <t xml:space="preserve">Boîte 1: 4 biscuits 
1x Le Mont Rocher
1x The Doughmallow
1x Dulce Lava
1x Fetty Wap</t>
  </si>
  <si>
    <t>Rayan Hocine</t>
  </si>
  <si>
    <t xml:space="preserve">Boîte 1: 4 biscuits 
1x The Kinderly
1x The Orginal
1x The C'n'C
1x Bis’coeur</t>
  </si>
  <si>
    <t>Mathieu Véronneau</t>
  </si>
  <si>
    <t xml:space="preserve">Boîte 1: 6 biscuits 
1x Bis’coeur
1x The Kinderly
1x The Orginal
1x The C'n'C
2x Dulce Lava</t>
  </si>
  <si>
    <t>Kristelle Raymond</t>
  </si>
  <si>
    <t xml:space="preserve">Boîte 1: 6 biscuits 
1x The Orginal
1x Dulce Lava
1x The C'n'C
1x The Doughmallow
1x Bis’coeur
1x Fetty Wap</t>
  </si>
  <si>
    <t>Mélissandre Taïna Itacy</t>
  </si>
  <si>
    <t xml:space="preserve">Boîte 1: 6 biscuits 
1x Fetty Wap
1x Bis’coeur
1x The Doughmallow
1x The Kinderly
1x Le Mont Rocher
1x Dulce Lava</t>
  </si>
  <si>
    <t>Mélissa Godbout</t>
  </si>
  <si>
    <t xml:space="preserve">Boîte 1: 6 biscuits 
1x The Doughmallow
1x Bis’coeur
2x Dulce Lava
1x The Kinderly
1x Berry Bliss</t>
  </si>
  <si>
    <t>Rania Boudadoud</t>
  </si>
  <si>
    <t xml:space="preserve">Boîte 1: 6 biscuits 
1x The Doughmallow
1x Bis’coeur
2x Dulce Lava
1x The Original
1x Berry Bliss</t>
  </si>
  <si>
    <t>texto</t>
  </si>
  <si>
    <t>Magasin</t>
  </si>
  <si>
    <t>Catégorie</t>
  </si>
  <si>
    <t>Facture</t>
  </si>
  <si>
    <t>Opportunité</t>
  </si>
  <si>
    <t>Statut</t>
  </si>
  <si>
    <t>Relance</t>
  </si>
  <si>
    <t>Notes</t>
  </si>
  <si>
    <t>Nom</t>
  </si>
  <si>
    <t>Plateforme</t>
  </si>
  <si>
    <t>Date contact</t>
  </si>
  <si>
    <t>Résultat</t>
  </si>
  <si>
    <t>Équipement</t>
  </si>
  <si>
    <t>Prix</t>
  </si>
  <si>
    <t>Garantie</t>
  </si>
  <si>
    <t>Tâche</t>
  </si>
  <si>
    <t>Fréquence</t>
  </si>
  <si>
    <t>Fait ?</t>
  </si>
  <si>
    <t>Vérifier les paiements</t>
  </si>
  <si>
    <t>Quotidien</t>
  </si>
  <si>
    <t>Noter les ventes</t>
  </si>
  <si>
    <t>Noter les dépenses</t>
  </si>
  <si>
    <t>Classer les factures</t>
  </si>
  <si>
    <t>Hebdomadaire</t>
  </si>
  <si>
    <t>Déposer le comptant</t>
  </si>
  <si>
    <t>Calculer le bénéfice</t>
  </si>
  <si>
    <t>Chercher une opportunité</t>
  </si>
  <si>
    <t>Réunion Snackin</t>
  </si>
  <si>
    <t>Bilan mensuel</t>
  </si>
  <si>
    <t>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</si>
</sst>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$&quot;"/>
    <numFmt numFmtId="165" formatCode="dd/mm/yyyy"/>
    <numFmt numFmtId="166" formatCode="dd/mm"/>
  </numFmts>
  <fonts count="8" x14ac:knownFonts="1">
    <font>
      <color theme="1"/>
      <family val="2"/>
      <scheme val="minor"/>
      <sz val="11"/>
      <name val="Calibri"/>
    </font>
    <font>
      <b/>
      <color rgb="FFA0162B"/>
      <sz val="16"/>
    </font>
    <font>
      <b/>
      <color rgb="FFA0162B"/>
    </font>
    <font>
      <i/>
      <color rgb="FF555555"/>
    </font>
    <font>
      <color rgb="FF666666"/>
      <sz val="10"/>
    </font>
    <font>
      <color theme="1"/>
      <scheme val="minor"/>
      <name val="Calibri"/>
    </font>
    <font>
      <color rgb="FF666666"/>
      <sz val="11"/>
      <name val="Arial"/>
    </font>
    <font>
      <color rgb="FF666666"/>
      <sz val="11"/>
      <name val="System-ui"/>
    </font>
  </fonts>
  <fills count="5">
    <fill>
      <patternFill patternType="none"/>
    </fill>
    <fill>
      <patternFill patternType="gray125"/>
    </fill>
    <fill>
      <patternFill patternType="solid">
        <fgColor rgb="FFFFF5F7"/>
      </patternFill>
    </fill>
    <fill>
      <patternFill patternType="solid">
        <fgColor rgb="FFFCE8E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2" fillId="3" borderId="0" xfId="0" applyNumberFormat="1" applyFont="1" applyFill="1"/>
    <xf numFmtId="164" fontId="3" fillId="0" borderId="0" xfId="0" applyNumberFormat="1" applyFont="1" applyAlignment="1">
      <alignment readingOrder="1"/>
    </xf>
    <xf numFmtId="164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4" fillId="0" borderId="0" xfId="0" applyFont="1" applyAlignment="1">
      <alignment vertical="top" wrapText="1"/>
    </xf>
    <xf numFmtId="165" fontId="5" fillId="0" borderId="0" xfId="0" applyNumberFormat="1" applyFont="1" applyAlignment="1">
      <alignment readingOrder="1"/>
    </xf>
    <xf numFmtId="0" fontId="6" fillId="4" borderId="0" xfId="0" applyFont="1" applyFill="1" applyAlignment="1">
      <alignment readingOrder="1"/>
    </xf>
    <xf numFmtId="166" fontId="5" fillId="0" borderId="0" xfId="0" applyNumberFormat="1" applyFont="1" applyAlignment="1">
      <alignment readingOrder="1"/>
    </xf>
    <xf numFmtId="0" fontId="7" fillId="4" borderId="0" xfId="0" applyFont="1" applyFill="1" applyAlignment="1">
      <alignment readingOrder="1"/>
    </xf>
    <xf numFmtId="165" fontId="6" fillId="4" borderId="0" xfId="0" applyNumberFormat="1" applyFont="1" applyFill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2" customWidth="1"/>
    <col min="2" max="2" width="22" customWidth="1"/>
    <col min="3" max="3" width="8.71" customWidth="1"/>
    <col min="4" max="4" width="8.71" hidden="1" customWidth="1"/>
    <col min="5" max="26" width="8.71" customWidth="1"/>
  </cols>
  <sheetData>
    <row r="1" spans="1:2" x14ac:dyDescent="0.25">
      <c r="A1" s="1" t="s">
        <v>0</v>
      </c>
      <c r="B1" s="1"/>
    </row>
    <row r="2" spans="1:4" x14ac:dyDescent="0.25">
      <c r="A2" s="2" t="s">
        <v>1</v>
      </c>
      <c r="B2" s="3" t="s">
        <v>2</v>
      </c>
      <c r="D2">
        <f>VALUE(LEFT(B2,4))</f>
      </c>
    </row>
    <row r="3" spans="1:4" x14ac:dyDescent="0.25">
      <c r="A3" s="2" t="s">
        <v>3</v>
      </c>
      <c r="B3" s="3">
        <f>TEXT(DATE($D$2,$D$3,1),"mmmm yyyy")</f>
      </c>
      <c r="D3">
        <f>VALUE(RIGHT(B2,2))</f>
      </c>
    </row>
    <row r="4" spans="1:2" x14ac:dyDescent="0.25">
      <c r="A4" s="2" t="s">
        <v>4</v>
      </c>
      <c r="B4" s="3">
        <v>0</v>
      </c>
    </row>
    <row r="5" spans="1:2" x14ac:dyDescent="0.25">
      <c r="A5" s="2" t="s">
        <v>5</v>
      </c>
      <c r="B5" s="2"/>
    </row>
    <row r="6" spans="1:2" x14ac:dyDescent="0.25">
      <c r="A6" s="2" t="s">
        <v>6</v>
      </c>
      <c r="B6" s="2">
        <v>727</v>
      </c>
    </row>
    <row r="7" spans="1:2" x14ac:dyDescent="0.25">
      <c r="A7" s="2" t="s">
        <v>7</v>
      </c>
      <c r="B7" s="3">
        <v>145.8</v>
      </c>
    </row>
    <row r="8" spans="1:2" x14ac:dyDescent="0.25">
      <c r="A8" s="2" t="s">
        <v>8</v>
      </c>
      <c r="B8" s="3">
        <v>0</v>
      </c>
    </row>
    <row r="9" spans="1:2" x14ac:dyDescent="0.25">
      <c r="A9" s="2" t="s">
        <v>9</v>
      </c>
      <c r="B9" s="2"/>
    </row>
    <row r="10" spans="1:2" x14ac:dyDescent="0.25">
      <c r="A10" t="s">
        <v>4</v>
      </c>
      <c r="B10" s="4">
        <f>SUMIFS(Ventes!G:G,Ventes!A:A,"&gt;="&amp;DATE($D$2,$D$3,1),Ventes!A:A,"&lt;="&amp;EOMONTH(DATE($D$2,$D$3,1),0),Ventes!F:F,"confirmer")</f>
      </c>
    </row>
    <row r="11" spans="1:2" x14ac:dyDescent="0.25">
      <c r="A11" t="s">
        <v>10</v>
      </c>
      <c r="B11" s="4">
        <f>SUMIFS(Dépenses!D:D,Dépenses!A:A,"&gt;="&amp;DATE($D$2,$D$3,1),Dépenses!A:A,"&lt;="&amp;EOMONTH(DATE($D$2,$D$3,1),0))</f>
      </c>
    </row>
    <row r="12" spans="1:2" x14ac:dyDescent="0.25">
      <c r="A12" t="s">
        <v>11</v>
      </c>
      <c r="B12" s="4">
        <f>B10-B11</f>
      </c>
    </row>
    <row r="13" spans="1:2" x14ac:dyDescent="0.25">
      <c r="A13" t="s">
        <v>12</v>
      </c>
      <c r="B13" s="5">
        <f>COUNTIFS(Ventes!A:A,"&gt;="&amp;DATE($D$2,$D$3,1),Ventes!A:A,"&lt;="&amp;EOMONTH(DATE($D$2,$D$3,1),0),Ventes!F:F,"confirmer")</f>
      </c>
    </row>
    <row r="14" spans="1:2" x14ac:dyDescent="0.25">
      <c r="A14" t="s">
        <v>13</v>
      </c>
      <c r="B14" s="4">
        <f>IF(B13=0,"",B10/B13)</f>
      </c>
    </row>
    <row r="15" spans="1:2" x14ac:dyDescent="0.25">
      <c r="A15" t="s">
        <v>14</v>
      </c>
      <c r="B15" s="5">
        <f>COUNTIFS(Ventes!G:G,"&gt;0",Ventes!A:A,"&gt;="&amp;DATE($D$2,$D$3,1),Ventes!A:A,"&lt;="&amp;EOMONTH(DATE($D$2,$D$3,1),0),Ventes!F:F,"confirmer",Ventes!H:H,"site web")</f>
      </c>
    </row>
    <row r="18" spans="1:2" x14ac:dyDescent="0.25">
      <c r="A18" s="6" t="s">
        <v>15</v>
      </c>
      <c r="B18" s="6"/>
    </row>
    <row r="19" spans="1:2" x14ac:dyDescent="0.25">
      <c r="A19" t="s">
        <v>16</v>
      </c>
      <c r="B19" s="4">
        <f>B6+B7</f>
      </c>
    </row>
    <row r="20" spans="1:2" x14ac:dyDescent="0.25">
      <c r="A20" t="s">
        <v>17</v>
      </c>
      <c r="B20" s="4">
        <f>B19-B11</f>
      </c>
    </row>
    <row r="21" ht="15.75" customHeight="1" x14ac:dyDescent="0.25"/>
    <row r="22" ht="15.75" customHeight="1" spans="1:2" x14ac:dyDescent="0.25">
      <c r="A22" s="7" t="s">
        <v>18</v>
      </c>
      <c r="B22" s="7"/>
    </row>
    <row r="23" ht="15.75" customHeight="1" spans="1:2" x14ac:dyDescent="0.25">
      <c r="A23" s="7"/>
      <c r="B23" s="7"/>
    </row>
    <row r="24" ht="15.75" customHeight="1" spans="1:2" x14ac:dyDescent="0.25">
      <c r="A24" s="7"/>
      <c r="B24" s="7"/>
    </row>
    <row r="25" ht="15.75" customHeight="1" spans="1:2" x14ac:dyDescent="0.25">
      <c r="A25" s="7"/>
      <c r="B25" s="7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B1"/>
    <mergeCell ref="A5:B5"/>
    <mergeCell ref="A9:B9"/>
    <mergeCell ref="A18:B18"/>
    <mergeCell ref="A22:B25"/>
  </mergeCells>
  <dataValidations count="1">
    <dataValidation type="list" showErrorMessage="1" errorTitle="Mois invalide" error="Choisissez un mois dans la liste." sqref="B2">
      <formula1>"2026-06,2026-07,2026-08,2026-09,2026-10,2026-11,2026-12,2027-01,2027-02"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6.43" customWidth="1"/>
    <col min="2" max="2" width="28.43" customWidth="1"/>
    <col min="3" max="3" width="40" customWidth="1"/>
    <col min="4" max="4" width="13" customWidth="1"/>
    <col min="5" max="5" width="17.43" customWidth="1"/>
    <col min="6" max="6" width="13.86" customWidth="1"/>
    <col min="7" max="7" width="14" customWidth="1"/>
    <col min="8" max="26" width="8.71" customWidth="1"/>
  </cols>
  <sheetData>
    <row r="1" spans="1:7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8">
        <v>46196</v>
      </c>
      <c r="B2" s="3" t="s">
        <v>26</v>
      </c>
      <c r="C2" s="9" t="s">
        <v>27</v>
      </c>
      <c r="D2" s="3">
        <v>24</v>
      </c>
      <c r="E2" s="3" t="s">
        <v>28</v>
      </c>
      <c r="F2" s="3" t="s">
        <v>29</v>
      </c>
      <c r="G2" s="3">
        <f>IF(D2="","",IF(ISNUMBER(D2),D2,VALUE(SUBSTITUTE(SUBSTITUTE(D2,"$","")," ",""))))</f>
      </c>
    </row>
    <row r="3" spans="1:7" x14ac:dyDescent="0.25">
      <c r="A3" s="10">
        <v>46201</v>
      </c>
      <c r="B3" s="3" t="s">
        <v>30</v>
      </c>
      <c r="C3" s="9" t="s">
        <v>31</v>
      </c>
      <c r="D3" s="3">
        <v>24</v>
      </c>
      <c r="E3" s="3" t="s">
        <v>28</v>
      </c>
      <c r="F3" s="3" t="s">
        <v>29</v>
      </c>
      <c r="G3" s="3">
        <f>IF(D3="","",IF(ISNUMBER(D3),D3,VALUE(SUBSTITUTE(SUBSTITUTE(D3,"$","")," ",""))))</f>
      </c>
    </row>
    <row r="4" spans="1:7" x14ac:dyDescent="0.25">
      <c r="A4" s="8">
        <v>46205</v>
      </c>
      <c r="B4" s="3" t="s">
        <v>32</v>
      </c>
      <c r="C4" s="9" t="s">
        <v>33</v>
      </c>
      <c r="D4" s="3">
        <v>24</v>
      </c>
      <c r="E4" s="3" t="s">
        <v>28</v>
      </c>
      <c r="F4" s="3" t="s">
        <v>29</v>
      </c>
      <c r="G4" s="3">
        <f>IF(D4="","",IF(ISNUMBER(D4),D4,VALUE(SUBSTITUTE(SUBSTITUTE(D4,"$","")," ",""))))</f>
      </c>
    </row>
    <row r="5" spans="1:7" x14ac:dyDescent="0.25">
      <c r="A5" s="8">
        <v>46207</v>
      </c>
      <c r="B5" s="3" t="s">
        <v>34</v>
      </c>
      <c r="C5" s="9" t="s">
        <v>35</v>
      </c>
      <c r="D5" s="3">
        <v>18</v>
      </c>
      <c r="E5" s="3" t="s">
        <v>28</v>
      </c>
      <c r="F5" s="3" t="s">
        <v>29</v>
      </c>
      <c r="G5" s="3">
        <f>IF(D5="","",IF(ISNUMBER(D5),D5,VALUE(SUBSTITUTE(SUBSTITUTE(D5,"$","")," ",""))))</f>
      </c>
    </row>
    <row r="6" spans="1:7" x14ac:dyDescent="0.25">
      <c r="A6" s="8">
        <v>46212</v>
      </c>
      <c r="B6" s="3" t="s">
        <v>36</v>
      </c>
      <c r="C6" s="9" t="s">
        <v>37</v>
      </c>
      <c r="D6" s="3">
        <v>18</v>
      </c>
      <c r="E6" s="3" t="s">
        <v>28</v>
      </c>
      <c r="F6" s="3" t="s">
        <v>29</v>
      </c>
      <c r="G6" s="3">
        <f>IF(D6="","",IF(ISNUMBER(D6),D6,VALUE(SUBSTITUTE(SUBSTITUTE(D6,"$","")," ",""))))</f>
      </c>
    </row>
    <row r="7" spans="1:7" x14ac:dyDescent="0.25">
      <c r="A7" s="8">
        <v>46213</v>
      </c>
      <c r="B7" s="3" t="s">
        <v>38</v>
      </c>
      <c r="C7" s="9" t="s">
        <v>39</v>
      </c>
      <c r="D7" s="3">
        <v>18</v>
      </c>
      <c r="E7" s="3" t="s">
        <v>28</v>
      </c>
      <c r="F7" s="3" t="s">
        <v>29</v>
      </c>
      <c r="G7" s="3">
        <f>IF(D7="","",IF(ISNUMBER(D7),D7,VALUE(SUBSTITUTE(SUBSTITUTE(D7,"$","")," ",""))))</f>
      </c>
    </row>
    <row r="8" spans="1:7" x14ac:dyDescent="0.25">
      <c r="A8" s="8">
        <v>46215</v>
      </c>
      <c r="B8" s="3" t="s">
        <v>40</v>
      </c>
      <c r="C8" s="9" t="s">
        <v>41</v>
      </c>
      <c r="D8" s="3">
        <v>24</v>
      </c>
      <c r="E8" s="3" t="s">
        <v>28</v>
      </c>
      <c r="F8" s="3" t="s">
        <v>29</v>
      </c>
      <c r="G8" s="3">
        <f>IF(D8="","",IF(ISNUMBER(D8),D8,VALUE(SUBSTITUTE(SUBSTITUTE(D8,"$","")," ",""))))</f>
      </c>
    </row>
    <row r="9" spans="1:7" x14ac:dyDescent="0.25">
      <c r="A9" s="8">
        <v>46217</v>
      </c>
      <c r="B9" s="11" t="s">
        <v>42</v>
      </c>
      <c r="C9" s="9" t="s">
        <v>43</v>
      </c>
      <c r="D9" s="3">
        <v>24</v>
      </c>
      <c r="E9" s="3" t="s">
        <v>28</v>
      </c>
      <c r="F9" s="3" t="s">
        <v>29</v>
      </c>
      <c r="G9" s="3">
        <f>IF(D9="","",IF(ISNUMBER(D9),D9,VALUE(SUBSTITUTE(SUBSTITUTE(D9,"$","")," ",""))))</f>
      </c>
    </row>
    <row r="10" spans="1:7" x14ac:dyDescent="0.25">
      <c r="A10" s="12">
        <v>46218</v>
      </c>
      <c r="B10" s="11" t="s">
        <v>44</v>
      </c>
      <c r="C10" s="9" t="s">
        <v>45</v>
      </c>
      <c r="D10" s="3">
        <v>24</v>
      </c>
      <c r="E10" s="3" t="s">
        <v>28</v>
      </c>
      <c r="F10" s="3" t="s">
        <v>29</v>
      </c>
      <c r="G10" s="3">
        <f>IF(D10="","",IF(ISNUMBER(D10),D10,VALUE(SUBSTITUTE(SUBSTITUTE(D10,"$","")," ",""))))</f>
      </c>
    </row>
    <row r="11" spans="1:7" x14ac:dyDescent="0.25">
      <c r="A11" s="8">
        <v>46233</v>
      </c>
      <c r="B11" s="11" t="s">
        <v>46</v>
      </c>
      <c r="C11" s="9" t="s">
        <v>47</v>
      </c>
      <c r="D11" s="3">
        <v>24</v>
      </c>
      <c r="E11" s="3" t="s">
        <v>28</v>
      </c>
      <c r="F11" s="3" t="s">
        <v>29</v>
      </c>
      <c r="G11" s="3">
        <f>IF(D11="","",IF(ISNUMBER(D11),D11,VALUE(SUBSTITUTE(SUBSTITUTE(D11,"$","")," ",""))))</f>
      </c>
    </row>
    <row r="12" spans="1:7" x14ac:dyDescent="0.25">
      <c r="A12" s="8">
        <v>46236</v>
      </c>
      <c r="B12" s="3" t="s">
        <v>48</v>
      </c>
      <c r="C12" s="3" t="s">
        <v>49</v>
      </c>
      <c r="D12" s="3">
        <v>24</v>
      </c>
      <c r="E12" s="3" t="s">
        <v>50</v>
      </c>
      <c r="F12" s="3" t="s">
        <v>29</v>
      </c>
      <c r="G12" s="3">
        <f>IF(D12="","",IF(ISNUMBER(D12),D12,VALUE(SUBSTITUTE(SUBSTITUTE(D12,"$","")," ",""))))</f>
      </c>
    </row>
    <row r="13" spans="7:7" x14ac:dyDescent="0.25">
      <c r="G13" s="4">
        <f>IF(D13="","",IF(ISNUMBER(D13),D13,VALUE(SUBSTITUTE(SUBSTITUTE(D13,"$","")," ",""))))</f>
      </c>
    </row>
    <row r="14" spans="7:7" x14ac:dyDescent="0.25">
      <c r="G14" s="4">
        <f>IF(D14="","",IF(ISNUMBER(D14),D14,VALUE(SUBSTITUTE(SUBSTITUTE(D14,"$","")," ",""))))</f>
      </c>
    </row>
    <row r="15" spans="7:7" x14ac:dyDescent="0.25">
      <c r="G15" s="4">
        <f>IF(D15="","",IF(ISNUMBER(D15),D15,VALUE(SUBSTITUTE(SUBSTITUTE(D15,"$","")," ",""))))</f>
      </c>
    </row>
    <row r="16" spans="7:7" x14ac:dyDescent="0.25">
      <c r="G16" s="4">
        <f>IF(D16="","",IF(ISNUMBER(D16),D16,VALUE(SUBSTITUTE(SUBSTITUTE(D16,"$","")," ",""))))</f>
      </c>
    </row>
    <row r="17" spans="7:7" x14ac:dyDescent="0.25">
      <c r="G17" s="4">
        <f>IF(D17="","",IF(ISNUMBER(D17),D17,VALUE(SUBSTITUTE(SUBSTITUTE(D17,"$","")," ",""))))</f>
      </c>
    </row>
    <row r="18" spans="7:7" x14ac:dyDescent="0.25">
      <c r="G18" s="4">
        <f>IF(D18="","",IF(ISNUMBER(D18),D18,VALUE(SUBSTITUTE(SUBSTITUTE(D18,"$","")," ",""))))</f>
      </c>
    </row>
    <row r="19" spans="7:7" x14ac:dyDescent="0.25">
      <c r="G19" s="4">
        <f>IF(D19="","",IF(ISNUMBER(D19),D19,VALUE(SUBSTITUTE(SUBSTITUTE(D19,"$","")," ",""))))</f>
      </c>
    </row>
    <row r="20" spans="7:7" x14ac:dyDescent="0.25">
      <c r="G20" s="4">
        <f>IF(D20="","",IF(ISNUMBER(D20),D20,VALUE(SUBSTITUTE(SUBSTITUTE(D20,"$","")," ",""))))</f>
      </c>
    </row>
    <row r="21" ht="15.75" customHeight="1" spans="7:7" x14ac:dyDescent="0.25">
      <c r="G21" s="4">
        <f>IF(D21="","",IF(ISNUMBER(D21),D21,VALUE(SUBSTITUTE(SUBSTITUTE(D21,"$","")," ",""))))</f>
      </c>
    </row>
    <row r="22" ht="15.75" customHeight="1" spans="7:7" x14ac:dyDescent="0.25">
      <c r="G22" s="4">
        <f>IF(D22="","",IF(ISNUMBER(D22),D22,VALUE(SUBSTITUTE(SUBSTITUTE(D22,"$","")," ",""))))</f>
      </c>
    </row>
    <row r="23" ht="15.75" customHeight="1" spans="7:7" x14ac:dyDescent="0.25">
      <c r="G23" s="4">
        <f>IF(D23="","",IF(ISNUMBER(D23),D23,VALUE(SUBSTITUTE(SUBSTITUTE(D23,"$","")," ",""))))</f>
      </c>
    </row>
    <row r="24" ht="15.75" customHeight="1" spans="7:7" x14ac:dyDescent="0.25">
      <c r="G24" s="4">
        <f>IF(D24="","",IF(ISNUMBER(D24),D24,VALUE(SUBSTITUTE(SUBSTITUTE(D24,"$","")," ",""))))</f>
      </c>
    </row>
    <row r="25" ht="15.75" customHeight="1" spans="7:7" x14ac:dyDescent="0.25">
      <c r="G25" s="4">
        <f>IF(D25="","",IF(ISNUMBER(D25),D25,VALUE(SUBSTITUTE(SUBSTITUTE(D25,"$","")," ",""))))</f>
      </c>
    </row>
    <row r="26" ht="15.75" customHeight="1" spans="7:7" x14ac:dyDescent="0.25">
      <c r="G26" s="4">
        <f>IF(D26="","",IF(ISNUMBER(D26),D26,VALUE(SUBSTITUTE(SUBSTITUTE(D26,"$","")," ",""))))</f>
      </c>
    </row>
    <row r="27" ht="15.75" customHeight="1" spans="7:7" x14ac:dyDescent="0.25">
      <c r="G27" s="4">
        <f>IF(D27="","",IF(ISNUMBER(D27),D27,VALUE(SUBSTITUTE(SUBSTITUTE(D27,"$","")," ",""))))</f>
      </c>
    </row>
    <row r="28" ht="15.75" customHeight="1" spans="7:7" x14ac:dyDescent="0.25">
      <c r="G28" s="4">
        <f>IF(D28="","",IF(ISNUMBER(D28),D28,VALUE(SUBSTITUTE(SUBSTITUTE(D28,"$","")," ",""))))</f>
      </c>
    </row>
    <row r="29" ht="15.75" customHeight="1" spans="7:7" x14ac:dyDescent="0.25">
      <c r="G29" s="4">
        <f>IF(D29="","",IF(ISNUMBER(D29),D29,VALUE(SUBSTITUTE(SUBSTITUTE(D29,"$","")," ",""))))</f>
      </c>
    </row>
    <row r="30" ht="15.75" customHeight="1" spans="7:7" x14ac:dyDescent="0.25">
      <c r="G30" s="4">
        <f>IF(D30="","",IF(ISNUMBER(D30),D30,VALUE(SUBSTITUTE(SUBSTITUTE(D30,"$","")," ",""))))</f>
      </c>
    </row>
    <row r="31" ht="15.75" customHeight="1" spans="7:7" x14ac:dyDescent="0.25">
      <c r="G31" s="4">
        <f>IF(D31="","",IF(ISNUMBER(D31),D31,VALUE(SUBSTITUTE(SUBSTITUTE(D31,"$","")," ",""))))</f>
      </c>
    </row>
    <row r="32" ht="15.75" customHeight="1" spans="7:7" x14ac:dyDescent="0.25">
      <c r="G32" s="4">
        <f>IF(D32="","",IF(ISNUMBER(D32),D32,VALUE(SUBSTITUTE(SUBSTITUTE(D32,"$","")," ",""))))</f>
      </c>
    </row>
    <row r="33" ht="15.75" customHeight="1" spans="7:7" x14ac:dyDescent="0.25">
      <c r="G33" s="4">
        <f>IF(D33="","",IF(ISNUMBER(D33),D33,VALUE(SUBSTITUTE(SUBSTITUTE(D33,"$","")," ",""))))</f>
      </c>
    </row>
    <row r="34" ht="15.75" customHeight="1" spans="7:7" x14ac:dyDescent="0.25">
      <c r="G34" s="4">
        <f>IF(D34="","",IF(ISNUMBER(D34),D34,VALUE(SUBSTITUTE(SUBSTITUTE(D34,"$","")," ",""))))</f>
      </c>
    </row>
    <row r="35" ht="15.75" customHeight="1" spans="7:7" x14ac:dyDescent="0.25">
      <c r="G35" s="4">
        <f>IF(D35="","",IF(ISNUMBER(D35),D35,VALUE(SUBSTITUTE(SUBSTITUTE(D35,"$","")," ",""))))</f>
      </c>
    </row>
    <row r="36" ht="15.75" customHeight="1" spans="7:7" x14ac:dyDescent="0.25">
      <c r="G36" s="4">
        <f>IF(D36="","",IF(ISNUMBER(D36),D36,VALUE(SUBSTITUTE(SUBSTITUTE(D36,"$","")," ",""))))</f>
      </c>
    </row>
    <row r="37" ht="15.75" customHeight="1" spans="7:7" x14ac:dyDescent="0.25">
      <c r="G37" s="4">
        <f>IF(D37="","",IF(ISNUMBER(D37),D37,VALUE(SUBSTITUTE(SUBSTITUTE(D37,"$","")," ",""))))</f>
      </c>
    </row>
    <row r="38" ht="15.75" customHeight="1" spans="7:7" x14ac:dyDescent="0.25">
      <c r="G38" s="4">
        <f>IF(D38="","",IF(ISNUMBER(D38),D38,VALUE(SUBSTITUTE(SUBSTITUTE(D38,"$","")," ",""))))</f>
      </c>
    </row>
    <row r="39" ht="15.75" customHeight="1" spans="7:7" x14ac:dyDescent="0.25">
      <c r="G39" s="4">
        <f>IF(D39="","",IF(ISNUMBER(D39),D39,VALUE(SUBSTITUTE(SUBSTITUTE(D39,"$","")," ",""))))</f>
      </c>
    </row>
    <row r="40" ht="15.75" customHeight="1" spans="7:7" x14ac:dyDescent="0.25">
      <c r="G40" s="4">
        <f>IF(D40="","",IF(ISNUMBER(D40),D40,VALUE(SUBSTITUTE(SUBSTITUTE(D40,"$","")," ",""))))</f>
      </c>
    </row>
    <row r="41" ht="15.75" customHeight="1" spans="7:7" x14ac:dyDescent="0.25">
      <c r="G41" s="4">
        <f>IF(D41="","",IF(ISNUMBER(D41),D41,VALUE(SUBSTITUTE(SUBSTITUTE(D41,"$","")," ",""))))</f>
      </c>
    </row>
    <row r="42" ht="15.75" customHeight="1" spans="7:7" x14ac:dyDescent="0.25">
      <c r="G42" s="4">
        <f>IF(D42="","",IF(ISNUMBER(D42),D42,VALUE(SUBSTITUTE(SUBSTITUTE(D42,"$","")," ",""))))</f>
      </c>
    </row>
    <row r="43" ht="15.75" customHeight="1" spans="7:7" x14ac:dyDescent="0.25">
      <c r="G43" s="4">
        <f>IF(D43="","",IF(ISNUMBER(D43),D43,VALUE(SUBSTITUTE(SUBSTITUTE(D43,"$","")," ",""))))</f>
      </c>
    </row>
    <row r="44" ht="15.75" customHeight="1" spans="7:7" x14ac:dyDescent="0.25">
      <c r="G44" s="4">
        <f>IF(D44="","",IF(ISNUMBER(D44),D44,VALUE(SUBSTITUTE(SUBSTITUTE(D44,"$","")," ",""))))</f>
      </c>
    </row>
    <row r="45" ht="15.75" customHeight="1" spans="7:7" x14ac:dyDescent="0.25">
      <c r="G45" s="4">
        <f>IF(D45="","",IF(ISNUMBER(D45),D45,VALUE(SUBSTITUTE(SUBSTITUTE(D45,"$","")," ",""))))</f>
      </c>
    </row>
    <row r="46" ht="15.75" customHeight="1" spans="7:7" x14ac:dyDescent="0.25">
      <c r="G46" s="4">
        <f>IF(D46="","",IF(ISNUMBER(D46),D46,VALUE(SUBSTITUTE(SUBSTITUTE(D46,"$","")," ",""))))</f>
      </c>
    </row>
    <row r="47" ht="15.75" customHeight="1" spans="7:7" x14ac:dyDescent="0.25">
      <c r="G47" s="4">
        <f>IF(D47="","",IF(ISNUMBER(D47),D47,VALUE(SUBSTITUTE(SUBSTITUTE(D47,"$","")," ",""))))</f>
      </c>
    </row>
    <row r="48" ht="15.75" customHeight="1" spans="7:7" x14ac:dyDescent="0.25">
      <c r="G48" s="4">
        <f>IF(D48="","",IF(ISNUMBER(D48),D48,VALUE(SUBSTITUTE(SUBSTITUTE(D48,"$","")," ",""))))</f>
      </c>
    </row>
    <row r="49" ht="15.75" customHeight="1" spans="7:7" x14ac:dyDescent="0.25">
      <c r="G49" s="4">
        <f>IF(D49="","",IF(ISNUMBER(D49),D49,VALUE(SUBSTITUTE(SUBSTITUTE(D49,"$","")," ",""))))</f>
      </c>
    </row>
    <row r="50" ht="15.75" customHeight="1" spans="7:7" x14ac:dyDescent="0.25">
      <c r="G50" s="4">
        <f>IF(D50="","",IF(ISNUMBER(D50),D50,VALUE(SUBSTITUTE(SUBSTITUTE(D50,"$","")," ",""))))</f>
      </c>
    </row>
    <row r="51" ht="15.75" customHeight="1" spans="7:7" x14ac:dyDescent="0.25">
      <c r="G51" s="4">
        <f>IF(D51="","",IF(ISNUMBER(D51),D51,VALUE(SUBSTITUTE(SUBSTITUTE(D51,"$","")," ",""))))</f>
      </c>
    </row>
    <row r="52" ht="15.75" customHeight="1" spans="7:7" x14ac:dyDescent="0.25">
      <c r="G52" s="4">
        <f>IF(D52="","",IF(ISNUMBER(D52),D52,VALUE(SUBSTITUTE(SUBSTITUTE(D52,"$","")," ",""))))</f>
      </c>
    </row>
    <row r="53" ht="15.75" customHeight="1" spans="7:7" x14ac:dyDescent="0.25">
      <c r="G53" s="4">
        <f>IF(D53="","",IF(ISNUMBER(D53),D53,VALUE(SUBSTITUTE(SUBSTITUTE(D53,"$","")," ",""))))</f>
      </c>
    </row>
    <row r="54" ht="15.75" customHeight="1" spans="7:7" x14ac:dyDescent="0.25">
      <c r="G54" s="4">
        <f>IF(D54="","",IF(ISNUMBER(D54),D54,VALUE(SUBSTITUTE(SUBSTITUTE(D54,"$","")," ",""))))</f>
      </c>
    </row>
    <row r="55" ht="15.75" customHeight="1" spans="7:7" x14ac:dyDescent="0.25">
      <c r="G55" s="4">
        <f>IF(D55="","",IF(ISNUMBER(D55),D55,VALUE(SUBSTITUTE(SUBSTITUTE(D55,"$","")," ",""))))</f>
      </c>
    </row>
    <row r="56" ht="15.75" customHeight="1" spans="7:7" x14ac:dyDescent="0.25">
      <c r="G56" s="4">
        <f>IF(D56="","",IF(ISNUMBER(D56),D56,VALUE(SUBSTITUTE(SUBSTITUTE(D56,"$","")," ",""))))</f>
      </c>
    </row>
    <row r="57" ht="15.75" customHeight="1" spans="7:7" x14ac:dyDescent="0.25">
      <c r="G57" s="4">
        <f>IF(D57="","",IF(ISNUMBER(D57),D57,VALUE(SUBSTITUTE(SUBSTITUTE(D57,"$","")," ",""))))</f>
      </c>
    </row>
    <row r="58" ht="15.75" customHeight="1" spans="7:7" x14ac:dyDescent="0.25">
      <c r="G58" s="4">
        <f>IF(D58="","",IF(ISNUMBER(D58),D58,VALUE(SUBSTITUTE(SUBSTITUTE(D58,"$","")," ",""))))</f>
      </c>
    </row>
    <row r="59" ht="15.75" customHeight="1" spans="7:7" x14ac:dyDescent="0.25">
      <c r="G59" s="4">
        <f>IF(D59="","",IF(ISNUMBER(D59),D59,VALUE(SUBSTITUTE(SUBSTITUTE(D59,"$","")," ",""))))</f>
      </c>
    </row>
    <row r="60" ht="15.75" customHeight="1" spans="7:7" x14ac:dyDescent="0.25">
      <c r="G60" s="4">
        <f>IF(D60="","",IF(ISNUMBER(D60),D60,VALUE(SUBSTITUTE(SUBSTITUTE(D60,"$","")," ",""))))</f>
      </c>
    </row>
    <row r="61" ht="15.75" customHeight="1" spans="7:7" x14ac:dyDescent="0.25">
      <c r="G61" s="4">
        <f>IF(D61="","",IF(ISNUMBER(D61),D61,VALUE(SUBSTITUTE(SUBSTITUTE(D61,"$","")," ",""))))</f>
      </c>
    </row>
    <row r="62" ht="15.75" customHeight="1" spans="7:7" x14ac:dyDescent="0.25">
      <c r="G62" s="4">
        <f>IF(D62="","",IF(ISNUMBER(D62),D62,VALUE(SUBSTITUTE(SUBSTITUTE(D62,"$","")," ",""))))</f>
      </c>
    </row>
    <row r="63" ht="15.75" customHeight="1" spans="7:7" x14ac:dyDescent="0.25">
      <c r="G63" s="4">
        <f>IF(D63="","",IF(ISNUMBER(D63),D63,VALUE(SUBSTITUTE(SUBSTITUTE(D63,"$","")," ",""))))</f>
      </c>
    </row>
    <row r="64" ht="15.75" customHeight="1" spans="7:7" x14ac:dyDescent="0.25">
      <c r="G64" s="4">
        <f>IF(D64="","",IF(ISNUMBER(D64),D64,VALUE(SUBSTITUTE(SUBSTITUTE(D64,"$","")," ",""))))</f>
      </c>
    </row>
    <row r="65" ht="15.75" customHeight="1" spans="7:7" x14ac:dyDescent="0.25">
      <c r="G65" s="4">
        <f>IF(D65="","",IF(ISNUMBER(D65),D65,VALUE(SUBSTITUTE(SUBSTITUTE(D65,"$","")," ",""))))</f>
      </c>
    </row>
    <row r="66" ht="15.75" customHeight="1" spans="7:7" x14ac:dyDescent="0.25">
      <c r="G66" s="4">
        <f>IF(D66="","",IF(ISNUMBER(D66),D66,VALUE(SUBSTITUTE(SUBSTITUTE(D66,"$","")," ",""))))</f>
      </c>
    </row>
    <row r="67" ht="15.75" customHeight="1" spans="7:7" x14ac:dyDescent="0.25">
      <c r="G67" s="4">
        <f>IF(D67="","",IF(ISNUMBER(D67),D67,VALUE(SUBSTITUTE(SUBSTITUTE(D67,"$","")," ",""))))</f>
      </c>
    </row>
    <row r="68" ht="15.75" customHeight="1" spans="7:7" x14ac:dyDescent="0.25">
      <c r="G68" s="4">
        <f>IF(D68="","",IF(ISNUMBER(D68),D68,VALUE(SUBSTITUTE(SUBSTITUTE(D68,"$","")," ",""))))</f>
      </c>
    </row>
    <row r="69" ht="15.75" customHeight="1" spans="7:7" x14ac:dyDescent="0.25">
      <c r="G69" s="4">
        <f>IF(D69="","",IF(ISNUMBER(D69),D69,VALUE(SUBSTITUTE(SUBSTITUTE(D69,"$","")," ",""))))</f>
      </c>
    </row>
    <row r="70" ht="15.75" customHeight="1" spans="7:7" x14ac:dyDescent="0.25">
      <c r="G70" s="4">
        <f>IF(D70="","",IF(ISNUMBER(D70),D70,VALUE(SUBSTITUTE(SUBSTITUTE(D70,"$","")," ",""))))</f>
      </c>
    </row>
    <row r="71" ht="15.75" customHeight="1" spans="7:7" x14ac:dyDescent="0.25">
      <c r="G71" s="4">
        <f>IF(D71="","",IF(ISNUMBER(D71),D71,VALUE(SUBSTITUTE(SUBSTITUTE(D71,"$","")," ",""))))</f>
      </c>
    </row>
    <row r="72" ht="15.75" customHeight="1" spans="7:7" x14ac:dyDescent="0.25">
      <c r="G72" s="4">
        <f>IF(D72="","",IF(ISNUMBER(D72),D72,VALUE(SUBSTITUTE(SUBSTITUTE(D72,"$","")," ",""))))</f>
      </c>
    </row>
    <row r="73" ht="15.75" customHeight="1" spans="7:7" x14ac:dyDescent="0.25">
      <c r="G73" s="4">
        <f>IF(D73="","",IF(ISNUMBER(D73),D73,VALUE(SUBSTITUTE(SUBSTITUTE(D73,"$","")," ",""))))</f>
      </c>
    </row>
    <row r="74" ht="15.75" customHeight="1" spans="7:7" x14ac:dyDescent="0.25">
      <c r="G74" s="4">
        <f>IF(D74="","",IF(ISNUMBER(D74),D74,VALUE(SUBSTITUTE(SUBSTITUTE(D74,"$","")," ",""))))</f>
      </c>
    </row>
    <row r="75" ht="15.75" customHeight="1" spans="7:7" x14ac:dyDescent="0.25">
      <c r="G75" s="4">
        <f>IF(D75="","",IF(ISNUMBER(D75),D75,VALUE(SUBSTITUTE(SUBSTITUTE(D75,"$","")," ",""))))</f>
      </c>
    </row>
    <row r="76" ht="15.75" customHeight="1" spans="7:7" x14ac:dyDescent="0.25">
      <c r="G76" s="4">
        <f>IF(D76="","",IF(ISNUMBER(D76),D76,VALUE(SUBSTITUTE(SUBSTITUTE(D76,"$","")," ",""))))</f>
      </c>
    </row>
    <row r="77" ht="15.75" customHeight="1" spans="7:7" x14ac:dyDescent="0.25">
      <c r="G77" s="4">
        <f>IF(D77="","",IF(ISNUMBER(D77),D77,VALUE(SUBSTITUTE(SUBSTITUTE(D77,"$","")," ",""))))</f>
      </c>
    </row>
    <row r="78" ht="15.75" customHeight="1" spans="7:7" x14ac:dyDescent="0.25">
      <c r="G78" s="4">
        <f>IF(D78="","",IF(ISNUMBER(D78),D78,VALUE(SUBSTITUTE(SUBSTITUTE(D78,"$","")," ",""))))</f>
      </c>
    </row>
    <row r="79" ht="15.75" customHeight="1" spans="7:7" x14ac:dyDescent="0.25">
      <c r="G79" s="4">
        <f>IF(D79="","",IF(ISNUMBER(D79),D79,VALUE(SUBSTITUTE(SUBSTITUTE(D79,"$","")," ",""))))</f>
      </c>
    </row>
    <row r="80" ht="15.75" customHeight="1" spans="7:7" x14ac:dyDescent="0.25">
      <c r="G80" s="4">
        <f>IF(D80="","",IF(ISNUMBER(D80),D80,VALUE(SUBSTITUTE(SUBSTITUTE(D80,"$","")," ",""))))</f>
      </c>
    </row>
    <row r="81" ht="15.75" customHeight="1" spans="7:7" x14ac:dyDescent="0.25">
      <c r="G81" s="4">
        <f>IF(D81="","",IF(ISNUMBER(D81),D81,VALUE(SUBSTITUTE(SUBSTITUTE(D81,"$","")," ",""))))</f>
      </c>
    </row>
    <row r="82" ht="15.75" customHeight="1" spans="7:7" x14ac:dyDescent="0.25">
      <c r="G82" s="4">
        <f>IF(D82="","",IF(ISNUMBER(D82),D82,VALUE(SUBSTITUTE(SUBSTITUTE(D82,"$","")," ",""))))</f>
      </c>
    </row>
    <row r="83" ht="15.75" customHeight="1" spans="7:7" x14ac:dyDescent="0.25">
      <c r="G83" s="4">
        <f>IF(D83="","",IF(ISNUMBER(D83),D83,VALUE(SUBSTITUTE(SUBSTITUTE(D83,"$","")," ",""))))</f>
      </c>
    </row>
    <row r="84" ht="15.75" customHeight="1" spans="7:7" x14ac:dyDescent="0.25">
      <c r="G84" s="4">
        <f>IF(D84="","",IF(ISNUMBER(D84),D84,VALUE(SUBSTITUTE(SUBSTITUTE(D84,"$","")," ",""))))</f>
      </c>
    </row>
    <row r="85" ht="15.75" customHeight="1" spans="7:7" x14ac:dyDescent="0.25">
      <c r="G85" s="4">
        <f>IF(D85="","",IF(ISNUMBER(D85),D85,VALUE(SUBSTITUTE(SUBSTITUTE(D85,"$","")," ",""))))</f>
      </c>
    </row>
    <row r="86" ht="15.75" customHeight="1" spans="7:7" x14ac:dyDescent="0.25">
      <c r="G86" s="4">
        <f>IF(D86="","",IF(ISNUMBER(D86),D86,VALUE(SUBSTITUTE(SUBSTITUTE(D86,"$","")," ",""))))</f>
      </c>
    </row>
    <row r="87" ht="15.75" customHeight="1" spans="7:7" x14ac:dyDescent="0.25">
      <c r="G87" s="4">
        <f>IF(D87="","",IF(ISNUMBER(D87),D87,VALUE(SUBSTITUTE(SUBSTITUTE(D87,"$","")," ",""))))</f>
      </c>
    </row>
    <row r="88" ht="15.75" customHeight="1" spans="7:7" x14ac:dyDescent="0.25">
      <c r="G88" s="4">
        <f>IF(D88="","",IF(ISNUMBER(D88),D88,VALUE(SUBSTITUTE(SUBSTITUTE(D88,"$","")," ",""))))</f>
      </c>
    </row>
    <row r="89" ht="15.75" customHeight="1" spans="7:7" x14ac:dyDescent="0.25">
      <c r="G89" s="4">
        <f>IF(D89="","",IF(ISNUMBER(D89),D89,VALUE(SUBSTITUTE(SUBSTITUTE(D89,"$","")," ",""))))</f>
      </c>
    </row>
    <row r="90" ht="15.75" customHeight="1" spans="7:7" x14ac:dyDescent="0.25">
      <c r="G90" s="4">
        <f>IF(D90="","",IF(ISNUMBER(D90),D90,VALUE(SUBSTITUTE(SUBSTITUTE(D90,"$","")," ",""))))</f>
      </c>
    </row>
    <row r="91" ht="15.75" customHeight="1" spans="7:7" x14ac:dyDescent="0.25">
      <c r="G91" s="4">
        <f>IF(D91="","",IF(ISNUMBER(D91),D91,VALUE(SUBSTITUTE(SUBSTITUTE(D91,"$","")," ",""))))</f>
      </c>
    </row>
    <row r="92" ht="15.75" customHeight="1" spans="7:7" x14ac:dyDescent="0.25">
      <c r="G92" s="4">
        <f>IF(D92="","",IF(ISNUMBER(D92),D92,VALUE(SUBSTITUTE(SUBSTITUTE(D92,"$","")," ",""))))</f>
      </c>
    </row>
    <row r="93" ht="15.75" customHeight="1" spans="7:7" x14ac:dyDescent="0.25">
      <c r="G93" s="4">
        <f>IF(D93="","",IF(ISNUMBER(D93),D93,VALUE(SUBSTITUTE(SUBSTITUTE(D93,"$","")," ",""))))</f>
      </c>
    </row>
    <row r="94" ht="15.75" customHeight="1" spans="7:7" x14ac:dyDescent="0.25">
      <c r="G94" s="4">
        <f>IF(D94="","",IF(ISNUMBER(D94),D94,VALUE(SUBSTITUTE(SUBSTITUTE(D94,"$","")," ",""))))</f>
      </c>
    </row>
    <row r="95" ht="15.75" customHeight="1" spans="7:7" x14ac:dyDescent="0.25">
      <c r="G95" s="4">
        <f>IF(D95="","",IF(ISNUMBER(D95),D95,VALUE(SUBSTITUTE(SUBSTITUTE(D95,"$","")," ",""))))</f>
      </c>
    </row>
    <row r="96" ht="15.75" customHeight="1" spans="7:7" x14ac:dyDescent="0.25">
      <c r="G96" s="4">
        <f>IF(D96="","",IF(ISNUMBER(D96),D96,VALUE(SUBSTITUTE(SUBSTITUTE(D96,"$","")," ",""))))</f>
      </c>
    </row>
    <row r="97" ht="15.75" customHeight="1" spans="7:7" x14ac:dyDescent="0.25">
      <c r="G97" s="4">
        <f>IF(D97="","",IF(ISNUMBER(D97),D97,VALUE(SUBSTITUTE(SUBSTITUTE(D97,"$","")," ",""))))</f>
      </c>
    </row>
    <row r="98" ht="15.75" customHeight="1" spans="7:7" x14ac:dyDescent="0.25">
      <c r="G98" s="4">
        <f>IF(D98="","",IF(ISNUMBER(D98),D98,VALUE(SUBSTITUTE(SUBSTITUTE(D98,"$","")," ",""))))</f>
      </c>
    </row>
    <row r="99" ht="15.75" customHeight="1" spans="7:7" x14ac:dyDescent="0.25">
      <c r="G99" s="4">
        <f>IF(D99="","",IF(ISNUMBER(D99),D99,VALUE(SUBSTITUTE(SUBSTITUTE(D99,"$","")," ",""))))</f>
      </c>
    </row>
    <row r="100" ht="15.75" customHeight="1" spans="7:7" x14ac:dyDescent="0.25">
      <c r="G100" s="4">
        <f>IF(D100="","",IF(ISNUMBER(D100),D100,VALUE(SUBSTITUTE(SUBSTITUTE(D100,"$","")," ",""))))</f>
      </c>
    </row>
    <row r="101" ht="15.75" customHeight="1" spans="7:7" x14ac:dyDescent="0.25">
      <c r="G101" s="4">
        <f>IF(D101="","",IF(ISNUMBER(D101),D101,VALUE(SUBSTITUTE(SUBSTITUTE(D101,"$","")," ",""))))</f>
      </c>
    </row>
    <row r="102" ht="15.75" customHeight="1" spans="7:7" x14ac:dyDescent="0.25">
      <c r="G102" s="4">
        <f>IF(D102="","",IF(ISNUMBER(D102),D102,VALUE(SUBSTITUTE(SUBSTITUTE(D102,"$","")," ",""))))</f>
      </c>
    </row>
    <row r="103" ht="15.75" customHeight="1" spans="7:7" x14ac:dyDescent="0.25">
      <c r="G103" s="4">
        <f>IF(D103="","",IF(ISNUMBER(D103),D103,VALUE(SUBSTITUTE(SUBSTITUTE(D103,"$","")," ",""))))</f>
      </c>
    </row>
    <row r="104" ht="15.75" customHeight="1" spans="7:7" x14ac:dyDescent="0.25">
      <c r="G104" s="4">
        <f>IF(D104="","",IF(ISNUMBER(D104),D104,VALUE(SUBSTITUTE(SUBSTITUTE(D104,"$","")," ",""))))</f>
      </c>
    </row>
    <row r="105" ht="15.75" customHeight="1" spans="7:7" x14ac:dyDescent="0.25">
      <c r="G105" s="4">
        <f>IF(D105="","",IF(ISNUMBER(D105),D105,VALUE(SUBSTITUTE(SUBSTITUTE(D105,"$","")," ",""))))</f>
      </c>
    </row>
    <row r="106" ht="15.75" customHeight="1" spans="7:7" x14ac:dyDescent="0.25">
      <c r="G106" s="4">
        <f>IF(D106="","",IF(ISNUMBER(D106),D106,VALUE(SUBSTITUTE(SUBSTITUTE(D106,"$","")," ",""))))</f>
      </c>
    </row>
    <row r="107" ht="15.75" customHeight="1" spans="7:7" x14ac:dyDescent="0.25">
      <c r="G107" s="4">
        <f>IF(D107="","",IF(ISNUMBER(D107),D107,VALUE(SUBSTITUTE(SUBSTITUTE(D107,"$","")," ",""))))</f>
      </c>
    </row>
    <row r="108" ht="15.75" customHeight="1" spans="7:7" x14ac:dyDescent="0.25">
      <c r="G108" s="4">
        <f>IF(D108="","",IF(ISNUMBER(D108),D108,VALUE(SUBSTITUTE(SUBSTITUTE(D108,"$","")," ",""))))</f>
      </c>
    </row>
    <row r="109" ht="15.75" customHeight="1" spans="7:7" x14ac:dyDescent="0.25">
      <c r="G109" s="4">
        <f>IF(D109="","",IF(ISNUMBER(D109),D109,VALUE(SUBSTITUTE(SUBSTITUTE(D109,"$","")," ",""))))</f>
      </c>
    </row>
    <row r="110" ht="15.75" customHeight="1" spans="7:7" x14ac:dyDescent="0.25">
      <c r="G110" s="4">
        <f>IF(D110="","",IF(ISNUMBER(D110),D110,VALUE(SUBSTITUTE(SUBSTITUTE(D110,"$","")," ",""))))</f>
      </c>
    </row>
    <row r="111" ht="15.75" customHeight="1" spans="7:7" x14ac:dyDescent="0.25">
      <c r="G111" s="4">
        <f>IF(D111="","",IF(ISNUMBER(D111),D111,VALUE(SUBSTITUTE(SUBSTITUTE(D111,"$","")," ",""))))</f>
      </c>
    </row>
    <row r="112" ht="15.75" customHeight="1" spans="7:7" x14ac:dyDescent="0.25">
      <c r="G112" s="4">
        <f>IF(D112="","",IF(ISNUMBER(D112),D112,VALUE(SUBSTITUTE(SUBSTITUTE(D112,"$","")," ",""))))</f>
      </c>
    </row>
    <row r="113" ht="15.75" customHeight="1" spans="7:7" x14ac:dyDescent="0.25">
      <c r="G113" s="4">
        <f>IF(D113="","",IF(ISNUMBER(D113),D113,VALUE(SUBSTITUTE(SUBSTITUTE(D113,"$","")," ",""))))</f>
      </c>
    </row>
    <row r="114" ht="15.75" customHeight="1" spans="7:7" x14ac:dyDescent="0.25">
      <c r="G114" s="4">
        <f>IF(D114="","",IF(ISNUMBER(D114),D114,VALUE(SUBSTITUTE(SUBSTITUTE(D114,"$","")," ",""))))</f>
      </c>
    </row>
    <row r="115" ht="15.75" customHeight="1" spans="7:7" x14ac:dyDescent="0.25">
      <c r="G115" s="4">
        <f>IF(D115="","",IF(ISNUMBER(D115),D115,VALUE(SUBSTITUTE(SUBSTITUTE(D115,"$","")," ",""))))</f>
      </c>
    </row>
    <row r="116" ht="15.75" customHeight="1" spans="7:7" x14ac:dyDescent="0.25">
      <c r="G116" s="4">
        <f>IF(D116="","",IF(ISNUMBER(D116),D116,VALUE(SUBSTITUTE(SUBSTITUTE(D116,"$","")," ",""))))</f>
      </c>
    </row>
    <row r="117" ht="15.75" customHeight="1" spans="7:7" x14ac:dyDescent="0.25">
      <c r="G117" s="4">
        <f>IF(D117="","",IF(ISNUMBER(D117),D117,VALUE(SUBSTITUTE(SUBSTITUTE(D117,"$","")," ",""))))</f>
      </c>
    </row>
    <row r="118" ht="15.75" customHeight="1" spans="7:7" x14ac:dyDescent="0.25">
      <c r="G118" s="4">
        <f>IF(D118="","",IF(ISNUMBER(D118),D118,VALUE(SUBSTITUTE(SUBSTITUTE(D118,"$","")," ",""))))</f>
      </c>
    </row>
    <row r="119" ht="15.75" customHeight="1" spans="7:7" x14ac:dyDescent="0.25">
      <c r="G119" s="4">
        <f>IF(D119="","",IF(ISNUMBER(D119),D119,VALUE(SUBSTITUTE(SUBSTITUTE(D119,"$","")," ",""))))</f>
      </c>
    </row>
    <row r="120" ht="15.75" customHeight="1" spans="7:7" x14ac:dyDescent="0.25">
      <c r="G120" s="4">
        <f>IF(D120="","",IF(ISNUMBER(D120),D120,VALUE(SUBSTITUTE(SUBSTITUTE(D120,"$","")," ",""))))</f>
      </c>
    </row>
    <row r="121" ht="15.75" customHeight="1" spans="7:7" x14ac:dyDescent="0.25">
      <c r="G121" s="4">
        <f>IF(D121="","",IF(ISNUMBER(D121),D121,VALUE(SUBSTITUTE(SUBSTITUTE(D121,"$","")," ",""))))</f>
      </c>
    </row>
    <row r="122" ht="15.75" customHeight="1" spans="7:7" x14ac:dyDescent="0.25">
      <c r="G122" s="4">
        <f>IF(D122="","",IF(ISNUMBER(D122),D122,VALUE(SUBSTITUTE(SUBSTITUTE(D122,"$","")," ",""))))</f>
      </c>
    </row>
    <row r="123" ht="15.75" customHeight="1" spans="7:7" x14ac:dyDescent="0.25">
      <c r="G123" s="4">
        <f>IF(D123="","",IF(ISNUMBER(D123),D123,VALUE(SUBSTITUTE(SUBSTITUTE(D123,"$","")," ",""))))</f>
      </c>
    </row>
    <row r="124" ht="15.75" customHeight="1" spans="7:7" x14ac:dyDescent="0.25">
      <c r="G124" s="4">
        <f>IF(D124="","",IF(ISNUMBER(D124),D124,VALUE(SUBSTITUTE(SUBSTITUTE(D124,"$","")," ",""))))</f>
      </c>
    </row>
    <row r="125" ht="15.75" customHeight="1" spans="7:7" x14ac:dyDescent="0.25">
      <c r="G125" s="4">
        <f>IF(D125="","",IF(ISNUMBER(D125),D125,VALUE(SUBSTITUTE(SUBSTITUTE(D125,"$","")," ",""))))</f>
      </c>
    </row>
    <row r="126" ht="15.75" customHeight="1" spans="7:7" x14ac:dyDescent="0.25">
      <c r="G126" s="4">
        <f>IF(D126="","",IF(ISNUMBER(D126),D126,VALUE(SUBSTITUTE(SUBSTITUTE(D126,"$","")," ",""))))</f>
      </c>
    </row>
    <row r="127" ht="15.75" customHeight="1" spans="7:7" x14ac:dyDescent="0.25">
      <c r="G127" s="4">
        <f>IF(D127="","",IF(ISNUMBER(D127),D127,VALUE(SUBSTITUTE(SUBSTITUTE(D127,"$","")," ",""))))</f>
      </c>
    </row>
    <row r="128" ht="15.75" customHeight="1" spans="7:7" x14ac:dyDescent="0.25">
      <c r="G128" s="4">
        <f>IF(D128="","",IF(ISNUMBER(D128),D128,VALUE(SUBSTITUTE(SUBSTITUTE(D128,"$","")," ",""))))</f>
      </c>
    </row>
    <row r="129" ht="15.75" customHeight="1" spans="7:7" x14ac:dyDescent="0.25">
      <c r="G129" s="4">
        <f>IF(D129="","",IF(ISNUMBER(D129),D129,VALUE(SUBSTITUTE(SUBSTITUTE(D129,"$","")," ",""))))</f>
      </c>
    </row>
    <row r="130" ht="15.75" customHeight="1" spans="7:7" x14ac:dyDescent="0.25">
      <c r="G130" s="4">
        <f>IF(D130="","",IF(ISNUMBER(D130),D130,VALUE(SUBSTITUTE(SUBSTITUTE(D130,"$","")," ",""))))</f>
      </c>
    </row>
    <row r="131" ht="15.75" customHeight="1" spans="7:7" x14ac:dyDescent="0.25">
      <c r="G131" s="4">
        <f>IF(D131="","",IF(ISNUMBER(D131),D131,VALUE(SUBSTITUTE(SUBSTITUTE(D131,"$","")," ",""))))</f>
      </c>
    </row>
    <row r="132" ht="15.75" customHeight="1" spans="7:7" x14ac:dyDescent="0.25">
      <c r="G132" s="4">
        <f>IF(D132="","",IF(ISNUMBER(D132),D132,VALUE(SUBSTITUTE(SUBSTITUTE(D132,"$","")," ",""))))</f>
      </c>
    </row>
    <row r="133" ht="15.75" customHeight="1" spans="7:7" x14ac:dyDescent="0.25">
      <c r="G133" s="4">
        <f>IF(D133="","",IF(ISNUMBER(D133),D133,VALUE(SUBSTITUTE(SUBSTITUTE(D133,"$","")," ",""))))</f>
      </c>
    </row>
    <row r="134" ht="15.75" customHeight="1" spans="7:7" x14ac:dyDescent="0.25">
      <c r="G134" s="4">
        <f>IF(D134="","",IF(ISNUMBER(D134),D134,VALUE(SUBSTITUTE(SUBSTITUTE(D134,"$","")," ",""))))</f>
      </c>
    </row>
    <row r="135" ht="15.75" customHeight="1" spans="7:7" x14ac:dyDescent="0.25">
      <c r="G135" s="4">
        <f>IF(D135="","",IF(ISNUMBER(D135),D135,VALUE(SUBSTITUTE(SUBSTITUTE(D135,"$","")," ",""))))</f>
      </c>
    </row>
    <row r="136" ht="15.75" customHeight="1" spans="7:7" x14ac:dyDescent="0.25">
      <c r="G136" s="4">
        <f>IF(D136="","",IF(ISNUMBER(D136),D136,VALUE(SUBSTITUTE(SUBSTITUTE(D136,"$","")," ",""))))</f>
      </c>
    </row>
    <row r="137" ht="15.75" customHeight="1" spans="7:7" x14ac:dyDescent="0.25">
      <c r="G137" s="4">
        <f>IF(D137="","",IF(ISNUMBER(D137),D137,VALUE(SUBSTITUTE(SUBSTITUTE(D137,"$","")," ",""))))</f>
      </c>
    </row>
    <row r="138" ht="15.75" customHeight="1" spans="7:7" x14ac:dyDescent="0.25">
      <c r="G138" s="4">
        <f>IF(D138="","",IF(ISNUMBER(D138),D138,VALUE(SUBSTITUTE(SUBSTITUTE(D138,"$","")," ",""))))</f>
      </c>
    </row>
    <row r="139" ht="15.75" customHeight="1" spans="7:7" x14ac:dyDescent="0.25">
      <c r="G139" s="4">
        <f>IF(D139="","",IF(ISNUMBER(D139),D139,VALUE(SUBSTITUTE(SUBSTITUTE(D139,"$","")," ",""))))</f>
      </c>
    </row>
    <row r="140" ht="15.75" customHeight="1" spans="7:7" x14ac:dyDescent="0.25">
      <c r="G140" s="4">
        <f>IF(D140="","",IF(ISNUMBER(D140),D140,VALUE(SUBSTITUTE(SUBSTITUTE(D140,"$","")," ",""))))</f>
      </c>
    </row>
    <row r="141" ht="15.75" customHeight="1" spans="7:7" x14ac:dyDescent="0.25">
      <c r="G141" s="4">
        <f>IF(D141="","",IF(ISNUMBER(D141),D141,VALUE(SUBSTITUTE(SUBSTITUTE(D141,"$","")," ",""))))</f>
      </c>
    </row>
    <row r="142" ht="15.75" customHeight="1" spans="7:7" x14ac:dyDescent="0.25">
      <c r="G142" s="4">
        <f>IF(D142="","",IF(ISNUMBER(D142),D142,VALUE(SUBSTITUTE(SUBSTITUTE(D142,"$","")," ",""))))</f>
      </c>
    </row>
    <row r="143" ht="15.75" customHeight="1" spans="7:7" x14ac:dyDescent="0.25">
      <c r="G143" s="4">
        <f>IF(D143="","",IF(ISNUMBER(D143),D143,VALUE(SUBSTITUTE(SUBSTITUTE(D143,"$","")," ",""))))</f>
      </c>
    </row>
    <row r="144" ht="15.75" customHeight="1" spans="7:7" x14ac:dyDescent="0.25">
      <c r="G144" s="4">
        <f>IF(D144="","",IF(ISNUMBER(D144),D144,VALUE(SUBSTITUTE(SUBSTITUTE(D144,"$","")," ",""))))</f>
      </c>
    </row>
    <row r="145" ht="15.75" customHeight="1" spans="7:7" x14ac:dyDescent="0.25">
      <c r="G145" s="4">
        <f>IF(D145="","",IF(ISNUMBER(D145),D145,VALUE(SUBSTITUTE(SUBSTITUTE(D145,"$","")," ",""))))</f>
      </c>
    </row>
    <row r="146" ht="15.75" customHeight="1" spans="7:7" x14ac:dyDescent="0.25">
      <c r="G146" s="4">
        <f>IF(D146="","",IF(ISNUMBER(D146),D146,VALUE(SUBSTITUTE(SUBSTITUTE(D146,"$","")," ",""))))</f>
      </c>
    </row>
    <row r="147" ht="15.75" customHeight="1" spans="7:7" x14ac:dyDescent="0.25">
      <c r="G147" s="4">
        <f>IF(D147="","",IF(ISNUMBER(D147),D147,VALUE(SUBSTITUTE(SUBSTITUTE(D147,"$","")," ",""))))</f>
      </c>
    </row>
    <row r="148" ht="15.75" customHeight="1" spans="7:7" x14ac:dyDescent="0.25">
      <c r="G148" s="4">
        <f>IF(D148="","",IF(ISNUMBER(D148),D148,VALUE(SUBSTITUTE(SUBSTITUTE(D148,"$","")," ",""))))</f>
      </c>
    </row>
    <row r="149" ht="15.75" customHeight="1" spans="7:7" x14ac:dyDescent="0.25">
      <c r="G149" s="4">
        <f>IF(D149="","",IF(ISNUMBER(D149),D149,VALUE(SUBSTITUTE(SUBSTITUTE(D149,"$","")," ",""))))</f>
      </c>
    </row>
    <row r="150" ht="15.75" customHeight="1" spans="7:7" x14ac:dyDescent="0.25">
      <c r="G150" s="4">
        <f>IF(D150="","",IF(ISNUMBER(D150),D150,VALUE(SUBSTITUTE(SUBSTITUTE(D150,"$","")," ",""))))</f>
      </c>
    </row>
    <row r="151" ht="15.75" customHeight="1" spans="7:7" x14ac:dyDescent="0.25">
      <c r="G151" s="4">
        <f>IF(D151="","",IF(ISNUMBER(D151),D151,VALUE(SUBSTITUTE(SUBSTITUTE(D151,"$","")," ",""))))</f>
      </c>
    </row>
    <row r="152" ht="15.75" customHeight="1" spans="7:7" x14ac:dyDescent="0.25">
      <c r="G152" s="4">
        <f>IF(D152="","",IF(ISNUMBER(D152),D152,VALUE(SUBSTITUTE(SUBSTITUTE(D152,"$","")," ",""))))</f>
      </c>
    </row>
    <row r="153" ht="15.75" customHeight="1" spans="7:7" x14ac:dyDescent="0.25">
      <c r="G153" s="4">
        <f>IF(D153="","",IF(ISNUMBER(D153),D153,VALUE(SUBSTITUTE(SUBSTITUTE(D153,"$","")," ",""))))</f>
      </c>
    </row>
    <row r="154" ht="15.75" customHeight="1" spans="7:7" x14ac:dyDescent="0.25">
      <c r="G154" s="4">
        <f>IF(D154="","",IF(ISNUMBER(D154),D154,VALUE(SUBSTITUTE(SUBSTITUTE(D154,"$","")," ",""))))</f>
      </c>
    </row>
    <row r="155" ht="15.75" customHeight="1" spans="7:7" x14ac:dyDescent="0.25">
      <c r="G155" s="4">
        <f>IF(D155="","",IF(ISNUMBER(D155),D155,VALUE(SUBSTITUTE(SUBSTITUTE(D155,"$","")," ",""))))</f>
      </c>
    </row>
    <row r="156" ht="15.75" customHeight="1" spans="7:7" x14ac:dyDescent="0.25">
      <c r="G156" s="4">
        <f>IF(D156="","",IF(ISNUMBER(D156),D156,VALUE(SUBSTITUTE(SUBSTITUTE(D156,"$","")," ",""))))</f>
      </c>
    </row>
    <row r="157" ht="15.75" customHeight="1" spans="7:7" x14ac:dyDescent="0.25">
      <c r="G157" s="4">
        <f>IF(D157="","",IF(ISNUMBER(D157),D157,VALUE(SUBSTITUTE(SUBSTITUTE(D157,"$","")," ",""))))</f>
      </c>
    </row>
    <row r="158" ht="15.75" customHeight="1" spans="7:7" x14ac:dyDescent="0.25">
      <c r="G158" s="4">
        <f>IF(D158="","",IF(ISNUMBER(D158),D158,VALUE(SUBSTITUTE(SUBSTITUTE(D158,"$","")," ",""))))</f>
      </c>
    </row>
    <row r="159" ht="15.75" customHeight="1" spans="7:7" x14ac:dyDescent="0.25">
      <c r="G159" s="4">
        <f>IF(D159="","",IF(ISNUMBER(D159),D159,VALUE(SUBSTITUTE(SUBSTITUTE(D159,"$","")," ",""))))</f>
      </c>
    </row>
    <row r="160" ht="15.75" customHeight="1" spans="7:7" x14ac:dyDescent="0.25">
      <c r="G160" s="4">
        <f>IF(D160="","",IF(ISNUMBER(D160),D160,VALUE(SUBSTITUTE(SUBSTITUTE(D160,"$","")," ",""))))</f>
      </c>
    </row>
    <row r="161" ht="15.75" customHeight="1" spans="7:7" x14ac:dyDescent="0.25">
      <c r="G161" s="4">
        <f>IF(D161="","",IF(ISNUMBER(D161),D161,VALUE(SUBSTITUTE(SUBSTITUTE(D161,"$","")," ",""))))</f>
      </c>
    </row>
    <row r="162" ht="15.75" customHeight="1" spans="7:7" x14ac:dyDescent="0.25">
      <c r="G162" s="4">
        <f>IF(D162="","",IF(ISNUMBER(D162),D162,VALUE(SUBSTITUTE(SUBSTITUTE(D162,"$","")," ",""))))</f>
      </c>
    </row>
    <row r="163" ht="15.75" customHeight="1" spans="7:7" x14ac:dyDescent="0.25">
      <c r="G163" s="4">
        <f>IF(D163="","",IF(ISNUMBER(D163),D163,VALUE(SUBSTITUTE(SUBSTITUTE(D163,"$","")," ",""))))</f>
      </c>
    </row>
    <row r="164" ht="15.75" customHeight="1" spans="7:7" x14ac:dyDescent="0.25">
      <c r="G164" s="4">
        <f>IF(D164="","",IF(ISNUMBER(D164),D164,VALUE(SUBSTITUTE(SUBSTITUTE(D164,"$","")," ",""))))</f>
      </c>
    </row>
    <row r="165" ht="15.75" customHeight="1" spans="7:7" x14ac:dyDescent="0.25">
      <c r="G165" s="4">
        <f>IF(D165="","",IF(ISNUMBER(D165),D165,VALUE(SUBSTITUTE(SUBSTITUTE(D165,"$","")," ",""))))</f>
      </c>
    </row>
    <row r="166" ht="15.75" customHeight="1" spans="7:7" x14ac:dyDescent="0.25">
      <c r="G166" s="4">
        <f>IF(D166="","",IF(ISNUMBER(D166),D166,VALUE(SUBSTITUTE(SUBSTITUTE(D166,"$","")," ",""))))</f>
      </c>
    </row>
    <row r="167" ht="15.75" customHeight="1" spans="7:7" x14ac:dyDescent="0.25">
      <c r="G167" s="4">
        <f>IF(D167="","",IF(ISNUMBER(D167),D167,VALUE(SUBSTITUTE(SUBSTITUTE(D167,"$","")," ",""))))</f>
      </c>
    </row>
    <row r="168" ht="15.75" customHeight="1" spans="7:7" x14ac:dyDescent="0.25">
      <c r="G168" s="4">
        <f>IF(D168="","",IF(ISNUMBER(D168),D168,VALUE(SUBSTITUTE(SUBSTITUTE(D168,"$","")," ",""))))</f>
      </c>
    </row>
    <row r="169" ht="15.75" customHeight="1" spans="7:7" x14ac:dyDescent="0.25">
      <c r="G169" s="4">
        <f>IF(D169="","",IF(ISNUMBER(D169),D169,VALUE(SUBSTITUTE(SUBSTITUTE(D169,"$","")," ",""))))</f>
      </c>
    </row>
    <row r="170" ht="15.75" customHeight="1" spans="7:7" x14ac:dyDescent="0.25">
      <c r="G170" s="4">
        <f>IF(D170="","",IF(ISNUMBER(D170),D170,VALUE(SUBSTITUTE(SUBSTITUTE(D170,"$","")," ",""))))</f>
      </c>
    </row>
    <row r="171" ht="15.75" customHeight="1" spans="7:7" x14ac:dyDescent="0.25">
      <c r="G171" s="4">
        <f>IF(D171="","",IF(ISNUMBER(D171),D171,VALUE(SUBSTITUTE(SUBSTITUTE(D171,"$","")," ",""))))</f>
      </c>
    </row>
    <row r="172" ht="15.75" customHeight="1" spans="7:7" x14ac:dyDescent="0.25">
      <c r="G172" s="4">
        <f>IF(D172="","",IF(ISNUMBER(D172),D172,VALUE(SUBSTITUTE(SUBSTITUTE(D172,"$","")," ",""))))</f>
      </c>
    </row>
    <row r="173" ht="15.75" customHeight="1" spans="7:7" x14ac:dyDescent="0.25">
      <c r="G173" s="4">
        <f>IF(D173="","",IF(ISNUMBER(D173),D173,VALUE(SUBSTITUTE(SUBSTITUTE(D173,"$","")," ",""))))</f>
      </c>
    </row>
    <row r="174" ht="15.75" customHeight="1" spans="7:7" x14ac:dyDescent="0.25">
      <c r="G174" s="4">
        <f>IF(D174="","",IF(ISNUMBER(D174),D174,VALUE(SUBSTITUTE(SUBSTITUTE(D174,"$","")," ",""))))</f>
      </c>
    </row>
    <row r="175" ht="15.75" customHeight="1" spans="7:7" x14ac:dyDescent="0.25">
      <c r="G175" s="4">
        <f>IF(D175="","",IF(ISNUMBER(D175),D175,VALUE(SUBSTITUTE(SUBSTITUTE(D175,"$","")," ",""))))</f>
      </c>
    </row>
    <row r="176" ht="15.75" customHeight="1" spans="7:7" x14ac:dyDescent="0.25">
      <c r="G176" s="4">
        <f>IF(D176="","",IF(ISNUMBER(D176),D176,VALUE(SUBSTITUTE(SUBSTITUTE(D176,"$","")," ",""))))</f>
      </c>
    </row>
    <row r="177" ht="15.75" customHeight="1" spans="7:7" x14ac:dyDescent="0.25">
      <c r="G177" s="4">
        <f>IF(D177="","",IF(ISNUMBER(D177),D177,VALUE(SUBSTITUTE(SUBSTITUTE(D177,"$","")," ",""))))</f>
      </c>
    </row>
    <row r="178" ht="15.75" customHeight="1" spans="7:7" x14ac:dyDescent="0.25">
      <c r="G178" s="4">
        <f>IF(D178="","",IF(ISNUMBER(D178),D178,VALUE(SUBSTITUTE(SUBSTITUTE(D178,"$","")," ",""))))</f>
      </c>
    </row>
    <row r="179" ht="15.75" customHeight="1" spans="7:7" x14ac:dyDescent="0.25">
      <c r="G179" s="4">
        <f>IF(D179="","",IF(ISNUMBER(D179),D179,VALUE(SUBSTITUTE(SUBSTITUTE(D179,"$","")," ",""))))</f>
      </c>
    </row>
    <row r="180" ht="15.75" customHeight="1" spans="7:7" x14ac:dyDescent="0.25">
      <c r="G180" s="4">
        <f>IF(D180="","",IF(ISNUMBER(D180),D180,VALUE(SUBSTITUTE(SUBSTITUTE(D180,"$","")," ",""))))</f>
      </c>
    </row>
    <row r="181" ht="15.75" customHeight="1" spans="7:7" x14ac:dyDescent="0.25">
      <c r="G181" s="4">
        <f>IF(D181="","",IF(ISNUMBER(D181),D181,VALUE(SUBSTITUTE(SUBSTITUTE(D181,"$","")," ",""))))</f>
      </c>
    </row>
    <row r="182" ht="15.75" customHeight="1" spans="7:7" x14ac:dyDescent="0.25">
      <c r="G182" s="4">
        <f>IF(D182="","",IF(ISNUMBER(D182),D182,VALUE(SUBSTITUTE(SUBSTITUTE(D182,"$","")," ",""))))</f>
      </c>
    </row>
    <row r="183" ht="15.75" customHeight="1" spans="7:7" x14ac:dyDescent="0.25">
      <c r="G183" s="4">
        <f>IF(D183="","",IF(ISNUMBER(D183),D183,VALUE(SUBSTITUTE(SUBSTITUTE(D183,"$","")," ",""))))</f>
      </c>
    </row>
    <row r="184" ht="15.75" customHeight="1" spans="7:7" x14ac:dyDescent="0.25">
      <c r="G184" s="4">
        <f>IF(D184="","",IF(ISNUMBER(D184),D184,VALUE(SUBSTITUTE(SUBSTITUTE(D184,"$","")," ",""))))</f>
      </c>
    </row>
    <row r="185" ht="15.75" customHeight="1" spans="7:7" x14ac:dyDescent="0.25">
      <c r="G185" s="4">
        <f>IF(D185="","",IF(ISNUMBER(D185),D185,VALUE(SUBSTITUTE(SUBSTITUTE(D185,"$","")," ",""))))</f>
      </c>
    </row>
    <row r="186" ht="15.75" customHeight="1" spans="7:7" x14ac:dyDescent="0.25">
      <c r="G186" s="4">
        <f>IF(D186="","",IF(ISNUMBER(D186),D186,VALUE(SUBSTITUTE(SUBSTITUTE(D186,"$","")," ",""))))</f>
      </c>
    </row>
    <row r="187" ht="15.75" customHeight="1" spans="7:7" x14ac:dyDescent="0.25">
      <c r="G187" s="4">
        <f>IF(D187="","",IF(ISNUMBER(D187),D187,VALUE(SUBSTITUTE(SUBSTITUTE(D187,"$","")," ",""))))</f>
      </c>
    </row>
    <row r="188" ht="15.75" customHeight="1" spans="7:7" x14ac:dyDescent="0.25">
      <c r="G188" s="4">
        <f>IF(D188="","",IF(ISNUMBER(D188),D188,VALUE(SUBSTITUTE(SUBSTITUTE(D188,"$","")," ",""))))</f>
      </c>
    </row>
    <row r="189" ht="15.75" customHeight="1" spans="7:7" x14ac:dyDescent="0.25">
      <c r="G189" s="4">
        <f>IF(D189="","",IF(ISNUMBER(D189),D189,VALUE(SUBSTITUTE(SUBSTITUTE(D189,"$","")," ",""))))</f>
      </c>
    </row>
    <row r="190" ht="15.75" customHeight="1" spans="7:7" x14ac:dyDescent="0.25">
      <c r="G190" s="4">
        <f>IF(D190="","",IF(ISNUMBER(D190),D190,VALUE(SUBSTITUTE(SUBSTITUTE(D190,"$","")," ",""))))</f>
      </c>
    </row>
    <row r="191" ht="15.75" customHeight="1" spans="7:7" x14ac:dyDescent="0.25">
      <c r="G191" s="4">
        <f>IF(D191="","",IF(ISNUMBER(D191),D191,VALUE(SUBSTITUTE(SUBSTITUTE(D191,"$","")," ",""))))</f>
      </c>
    </row>
    <row r="192" ht="15.75" customHeight="1" spans="7:7" x14ac:dyDescent="0.25">
      <c r="G192" s="4">
        <f>IF(D192="","",IF(ISNUMBER(D192),D192,VALUE(SUBSTITUTE(SUBSTITUTE(D192,"$","")," ",""))))</f>
      </c>
    </row>
    <row r="193" ht="15.75" customHeight="1" spans="7:7" x14ac:dyDescent="0.25">
      <c r="G193" s="4">
        <f>IF(D193="","",IF(ISNUMBER(D193),D193,VALUE(SUBSTITUTE(SUBSTITUTE(D193,"$","")," ",""))))</f>
      </c>
    </row>
    <row r="194" ht="15.75" customHeight="1" spans="7:7" x14ac:dyDescent="0.25">
      <c r="G194" s="4">
        <f>IF(D194="","",IF(ISNUMBER(D194),D194,VALUE(SUBSTITUTE(SUBSTITUTE(D194,"$","")," ",""))))</f>
      </c>
    </row>
    <row r="195" ht="15.75" customHeight="1" spans="7:7" x14ac:dyDescent="0.25">
      <c r="G195" s="4">
        <f>IF(D195="","",IF(ISNUMBER(D195),D195,VALUE(SUBSTITUTE(SUBSTITUTE(D195,"$","")," ",""))))</f>
      </c>
    </row>
    <row r="196" ht="15.75" customHeight="1" spans="7:7" x14ac:dyDescent="0.25">
      <c r="G196" s="4">
        <f>IF(D196="","",IF(ISNUMBER(D196),D196,VALUE(SUBSTITUTE(SUBSTITUTE(D196,"$","")," ",""))))</f>
      </c>
    </row>
    <row r="197" ht="15.75" customHeight="1" spans="7:7" x14ac:dyDescent="0.25">
      <c r="G197" s="4">
        <f>IF(D197="","",IF(ISNUMBER(D197),D197,VALUE(SUBSTITUTE(SUBSTITUTE(D197,"$","")," ",""))))</f>
      </c>
    </row>
    <row r="198" ht="15.75" customHeight="1" spans="7:7" x14ac:dyDescent="0.25">
      <c r="G198" s="4">
        <f>IF(D198="","",IF(ISNUMBER(D198),D198,VALUE(SUBSTITUTE(SUBSTITUTE(D198,"$","")," ",""))))</f>
      </c>
    </row>
    <row r="199" ht="15.75" customHeight="1" spans="7:7" x14ac:dyDescent="0.25">
      <c r="G199" s="4">
        <f>IF(D199="","",IF(ISNUMBER(D199),D199,VALUE(SUBSTITUTE(SUBSTITUTE(D199,"$","")," ",""))))</f>
      </c>
    </row>
    <row r="200" ht="15.75" customHeight="1" spans="7:7" x14ac:dyDescent="0.25">
      <c r="G200" s="4">
        <f>IF(D200="","",IF(ISNUMBER(D200),D200,VALUE(SUBSTITUTE(SUBSTITUTE(D200,"$","")," ",""))))</f>
      </c>
    </row>
    <row r="201" ht="15.75" customHeight="1" spans="7:7" x14ac:dyDescent="0.25">
      <c r="G201" s="4">
        <f>IF(D201="","",IF(ISNUMBER(D201),D201,VALUE(SUBSTITUTE(SUBSTITUTE(D201,"$","")," ",""))))</f>
      </c>
    </row>
    <row r="202" ht="15.75" customHeight="1" spans="7:7" x14ac:dyDescent="0.25">
      <c r="G202" s="4">
        <f>IF(D202="","",IF(ISNUMBER(D202),D202,VALUE(SUBSTITUTE(SUBSTITUTE(D202,"$","")," ",""))))</f>
      </c>
    </row>
    <row r="203" ht="15.75" customHeight="1" spans="7:7" x14ac:dyDescent="0.25">
      <c r="G203" s="4">
        <f>IF(D203="","",IF(ISNUMBER(D203),D203,VALUE(SUBSTITUTE(SUBSTITUTE(D203,"$","")," ",""))))</f>
      </c>
    </row>
    <row r="204" ht="15.75" customHeight="1" spans="7:7" x14ac:dyDescent="0.25">
      <c r="G204" s="4">
        <f>IF(D204="","",IF(ISNUMBER(D204),D204,VALUE(SUBSTITUTE(SUBSTITUTE(D204,"$","")," ",""))))</f>
      </c>
    </row>
    <row r="205" ht="15.75" customHeight="1" spans="7:7" x14ac:dyDescent="0.25">
      <c r="G205" s="4">
        <f>IF(D205="","",IF(ISNUMBER(D205),D205,VALUE(SUBSTITUTE(SUBSTITUTE(D205,"$","")," ",""))))</f>
      </c>
    </row>
    <row r="206" ht="15.75" customHeight="1" spans="7:7" x14ac:dyDescent="0.25">
      <c r="G206" s="4">
        <f>IF(D206="","",IF(ISNUMBER(D206),D206,VALUE(SUBSTITUTE(SUBSTITUTE(D206,"$","")," ",""))))</f>
      </c>
    </row>
    <row r="207" ht="15.75" customHeight="1" spans="7:7" x14ac:dyDescent="0.25">
      <c r="G207" s="4">
        <f>IF(D207="","",IF(ISNUMBER(D207),D207,VALUE(SUBSTITUTE(SUBSTITUTE(D207,"$","")," ",""))))</f>
      </c>
    </row>
    <row r="208" ht="15.75" customHeight="1" spans="7:7" x14ac:dyDescent="0.25">
      <c r="G208" s="4">
        <f>IF(D208="","",IF(ISNUMBER(D208),D208,VALUE(SUBSTITUTE(SUBSTITUTE(D208,"$","")," ",""))))</f>
      </c>
    </row>
    <row r="209" ht="15.75" customHeight="1" spans="7:7" x14ac:dyDescent="0.25">
      <c r="G209" s="4">
        <f>IF(D209="","",IF(ISNUMBER(D209),D209,VALUE(SUBSTITUTE(SUBSTITUTE(D209,"$","")," ",""))))</f>
      </c>
    </row>
    <row r="210" ht="15.75" customHeight="1" spans="7:7" x14ac:dyDescent="0.25">
      <c r="G210" s="4">
        <f>IF(D210="","",IF(ISNUMBER(D210),D210,VALUE(SUBSTITUTE(SUBSTITUTE(D210,"$","")," ",""))))</f>
      </c>
    </row>
    <row r="211" ht="15.75" customHeight="1" spans="7:7" x14ac:dyDescent="0.25">
      <c r="G211" s="4">
        <f>IF(D211="","",IF(ISNUMBER(D211),D211,VALUE(SUBSTITUTE(SUBSTITUTE(D211,"$","")," ",""))))</f>
      </c>
    </row>
    <row r="212" ht="15.75" customHeight="1" spans="7:7" x14ac:dyDescent="0.25">
      <c r="G212" s="4">
        <f>IF(D212="","",IF(ISNUMBER(D212),D212,VALUE(SUBSTITUTE(SUBSTITUTE(D212,"$","")," ",""))))</f>
      </c>
    </row>
    <row r="213" ht="15.75" customHeight="1" spans="7:7" x14ac:dyDescent="0.25">
      <c r="G213" s="4">
        <f>IF(D213="","",IF(ISNUMBER(D213),D213,VALUE(SUBSTITUTE(SUBSTITUTE(D213,"$","")," ",""))))</f>
      </c>
    </row>
    <row r="214" ht="15.75" customHeight="1" spans="7:7" x14ac:dyDescent="0.25">
      <c r="G214" s="4">
        <f>IF(D214="","",IF(ISNUMBER(D214),D214,VALUE(SUBSTITUTE(SUBSTITUTE(D214,"$","")," ",""))))</f>
      </c>
    </row>
    <row r="215" ht="15.75" customHeight="1" spans="7:7" x14ac:dyDescent="0.25">
      <c r="G215" s="4">
        <f>IF(D215="","",IF(ISNUMBER(D215),D215,VALUE(SUBSTITUTE(SUBSTITUTE(D215,"$","")," ",""))))</f>
      </c>
    </row>
    <row r="216" ht="15.75" customHeight="1" spans="7:7" x14ac:dyDescent="0.25">
      <c r="G216" s="4">
        <f>IF(D216="","",IF(ISNUMBER(D216),D216,VALUE(SUBSTITUTE(SUBSTITUTE(D216,"$","")," ",""))))</f>
      </c>
    </row>
    <row r="217" ht="15.75" customHeight="1" spans="7:7" x14ac:dyDescent="0.25">
      <c r="G217" s="4">
        <f>IF(D217="","",IF(ISNUMBER(D217),D217,VALUE(SUBSTITUTE(SUBSTITUTE(D217,"$","")," ",""))))</f>
      </c>
    </row>
    <row r="218" ht="15.75" customHeight="1" spans="7:7" x14ac:dyDescent="0.25">
      <c r="G218" s="4">
        <f>IF(D218="","",IF(ISNUMBER(D218),D218,VALUE(SUBSTITUTE(SUBSTITUTE(D218,"$","")," ",""))))</f>
      </c>
    </row>
    <row r="219" ht="15.75" customHeight="1" spans="7:7" x14ac:dyDescent="0.25">
      <c r="G219" s="4">
        <f>IF(D219="","",IF(ISNUMBER(D219),D219,VALUE(SUBSTITUTE(SUBSTITUTE(D219,"$","")," ",""))))</f>
      </c>
    </row>
    <row r="220" ht="15.75" customHeight="1" spans="7:7" x14ac:dyDescent="0.25">
      <c r="G220" s="4">
        <f>IF(D220="","",IF(ISNUMBER(D220),D220,VALUE(SUBSTITUTE(SUBSTITUTE(D220,"$","")," ",""))))</f>
      </c>
    </row>
    <row r="221" ht="15.75" customHeight="1" spans="7:7" x14ac:dyDescent="0.25">
      <c r="G221" s="4">
        <f>IF(D221="","",IF(ISNUMBER(D221),D221,VALUE(SUBSTITUTE(SUBSTITUTE(D221,"$","")," ",""))))</f>
      </c>
    </row>
    <row r="222" ht="15.75" customHeight="1" spans="7:7" x14ac:dyDescent="0.25">
      <c r="G222" s="4">
        <f>IF(D222="","",IF(ISNUMBER(D222),D222,VALUE(SUBSTITUTE(SUBSTITUTE(D222,"$","")," ",""))))</f>
      </c>
    </row>
    <row r="223" ht="15.75" customHeight="1" spans="7:7" x14ac:dyDescent="0.25">
      <c r="G223" s="4">
        <f>IF(D223="","",IF(ISNUMBER(D223),D223,VALUE(SUBSTITUTE(SUBSTITUTE(D223,"$","")," ",""))))</f>
      </c>
    </row>
    <row r="224" ht="15.75" customHeight="1" spans="7:7" x14ac:dyDescent="0.25">
      <c r="G224" s="4">
        <f>IF(D224="","",IF(ISNUMBER(D224),D224,VALUE(SUBSTITUTE(SUBSTITUTE(D224,"$","")," ",""))))</f>
      </c>
    </row>
    <row r="225" ht="15.75" customHeight="1" spans="7:7" x14ac:dyDescent="0.25">
      <c r="G225" s="4">
        <f>IF(D225="","",IF(ISNUMBER(D225),D225,VALUE(SUBSTITUTE(SUBSTITUTE(D225,"$","")," ",""))))</f>
      </c>
    </row>
    <row r="226" ht="15.75" customHeight="1" spans="7:7" x14ac:dyDescent="0.25">
      <c r="G226" s="4">
        <f>IF(D226="","",IF(ISNUMBER(D226),D226,VALUE(SUBSTITUTE(SUBSTITUTE(D226,"$","")," ",""))))</f>
      </c>
    </row>
    <row r="227" ht="15.75" customHeight="1" spans="7:7" x14ac:dyDescent="0.25">
      <c r="G227" s="4">
        <f>IF(D227="","",IF(ISNUMBER(D227),D227,VALUE(SUBSTITUTE(SUBSTITUTE(D227,"$","")," ",""))))</f>
      </c>
    </row>
    <row r="228" ht="15.75" customHeight="1" spans="7:7" x14ac:dyDescent="0.25">
      <c r="G228" s="4">
        <f>IF(D228="","",IF(ISNUMBER(D228),D228,VALUE(SUBSTITUTE(SUBSTITUTE(D228,"$","")," ",""))))</f>
      </c>
    </row>
    <row r="229" ht="15.75" customHeight="1" spans="7:7" x14ac:dyDescent="0.25">
      <c r="G229" s="4">
        <f>IF(D229="","",IF(ISNUMBER(D229),D229,VALUE(SUBSTITUTE(SUBSTITUTE(D229,"$","")," ",""))))</f>
      </c>
    </row>
    <row r="230" ht="15.75" customHeight="1" spans="7:7" x14ac:dyDescent="0.25">
      <c r="G230" s="4">
        <f>IF(D230="","",IF(ISNUMBER(D230),D230,VALUE(SUBSTITUTE(SUBSTITUTE(D230,"$","")," ",""))))</f>
      </c>
    </row>
    <row r="231" ht="15.75" customHeight="1" spans="7:7" x14ac:dyDescent="0.25">
      <c r="G231" s="4">
        <f>IF(D231="","",IF(ISNUMBER(D231),D231,VALUE(SUBSTITUTE(SUBSTITUTE(D231,"$","")," ",""))))</f>
      </c>
    </row>
    <row r="232" ht="15.75" customHeight="1" spans="7:7" x14ac:dyDescent="0.25">
      <c r="G232" s="4">
        <f>IF(D232="","",IF(ISNUMBER(D232),D232,VALUE(SUBSTITUTE(SUBSTITUTE(D232,"$","")," ",""))))</f>
      </c>
    </row>
    <row r="233" ht="15.75" customHeight="1" spans="7:7" x14ac:dyDescent="0.25">
      <c r="G233" s="4">
        <f>IF(D233="","",IF(ISNUMBER(D233),D233,VALUE(SUBSTITUTE(SUBSTITUTE(D233,"$","")," ",""))))</f>
      </c>
    </row>
    <row r="234" ht="15.75" customHeight="1" spans="7:7" x14ac:dyDescent="0.25">
      <c r="G234" s="4">
        <f>IF(D234="","",IF(ISNUMBER(D234),D234,VALUE(SUBSTITUTE(SUBSTITUTE(D234,"$","")," ",""))))</f>
      </c>
    </row>
    <row r="235" ht="15.75" customHeight="1" spans="7:7" x14ac:dyDescent="0.25">
      <c r="G235" s="4">
        <f>IF(D235="","",IF(ISNUMBER(D235),D235,VALUE(SUBSTITUTE(SUBSTITUTE(D235,"$","")," ",""))))</f>
      </c>
    </row>
    <row r="236" ht="15.75" customHeight="1" spans="7:7" x14ac:dyDescent="0.25">
      <c r="G236" s="4">
        <f>IF(D236="","",IF(ISNUMBER(D236),D236,VALUE(SUBSTITUTE(SUBSTITUTE(D236,"$","")," ",""))))</f>
      </c>
    </row>
    <row r="237" ht="15.75" customHeight="1" spans="7:7" x14ac:dyDescent="0.25">
      <c r="G237" s="4">
        <f>IF(D237="","",IF(ISNUMBER(D237),D237,VALUE(SUBSTITUTE(SUBSTITUTE(D237,"$","")," ",""))))</f>
      </c>
    </row>
    <row r="238" ht="15.75" customHeight="1" spans="7:7" x14ac:dyDescent="0.25">
      <c r="G238" s="4">
        <f>IF(D238="","",IF(ISNUMBER(D238),D238,VALUE(SUBSTITUTE(SUBSTITUTE(D238,"$","")," ",""))))</f>
      </c>
    </row>
    <row r="239" ht="15.75" customHeight="1" spans="7:7" x14ac:dyDescent="0.25">
      <c r="G239" s="4">
        <f>IF(D239="","",IF(ISNUMBER(D239),D239,VALUE(SUBSTITUTE(SUBSTITUTE(D239,"$","")," ",""))))</f>
      </c>
    </row>
    <row r="240" ht="15.75" customHeight="1" spans="7:7" x14ac:dyDescent="0.25">
      <c r="G240" s="4">
        <f>IF(D240="","",IF(ISNUMBER(D240),D240,VALUE(SUBSTITUTE(SUBSTITUTE(D240,"$","")," ",""))))</f>
      </c>
    </row>
    <row r="241" ht="15.75" customHeight="1" spans="7:7" x14ac:dyDescent="0.25">
      <c r="G241" s="4">
        <f>IF(D241="","",IF(ISNUMBER(D241),D241,VALUE(SUBSTITUTE(SUBSTITUTE(D241,"$","")," ",""))))</f>
      </c>
    </row>
    <row r="242" ht="15.75" customHeight="1" spans="7:7" x14ac:dyDescent="0.25">
      <c r="G242" s="4">
        <f>IF(D242="","",IF(ISNUMBER(D242),D242,VALUE(SUBSTITUTE(SUBSTITUTE(D242,"$","")," ",""))))</f>
      </c>
    </row>
    <row r="243" ht="15.75" customHeight="1" spans="7:7" x14ac:dyDescent="0.25">
      <c r="G243" s="4">
        <f>IF(D243="","",IF(ISNUMBER(D243),D243,VALUE(SUBSTITUTE(SUBSTITUTE(D243,"$","")," ",""))))</f>
      </c>
    </row>
    <row r="244" ht="15.75" customHeight="1" spans="7:7" x14ac:dyDescent="0.25">
      <c r="G244" s="4">
        <f>IF(D244="","",IF(ISNUMBER(D244),D244,VALUE(SUBSTITUTE(SUBSTITUTE(D244,"$","")," ",""))))</f>
      </c>
    </row>
    <row r="245" ht="15.75" customHeight="1" spans="7:7" x14ac:dyDescent="0.25">
      <c r="G245" s="4">
        <f>IF(D245="","",IF(ISNUMBER(D245),D245,VALUE(SUBSTITUTE(SUBSTITUTE(D245,"$","")," ",""))))</f>
      </c>
    </row>
    <row r="246" ht="15.75" customHeight="1" spans="7:7" x14ac:dyDescent="0.25">
      <c r="G246" s="4">
        <f>IF(D246="","",IF(ISNUMBER(D246),D246,VALUE(SUBSTITUTE(SUBSTITUTE(D246,"$","")," ",""))))</f>
      </c>
    </row>
    <row r="247" ht="15.75" customHeight="1" spans="7:7" x14ac:dyDescent="0.25">
      <c r="G247" s="4">
        <f>IF(D247="","",IF(ISNUMBER(D247),D247,VALUE(SUBSTITUTE(SUBSTITUTE(D247,"$","")," ",""))))</f>
      </c>
    </row>
    <row r="248" ht="15.75" customHeight="1" spans="7:7" x14ac:dyDescent="0.25">
      <c r="G248" s="4">
        <f>IF(D248="","",IF(ISNUMBER(D248),D248,VALUE(SUBSTITUTE(SUBSTITUTE(D248,"$","")," ",""))))</f>
      </c>
    </row>
    <row r="249" ht="15.75" customHeight="1" spans="7:7" x14ac:dyDescent="0.25">
      <c r="G249" s="4">
        <f>IF(D249="","",IF(ISNUMBER(D249),D249,VALUE(SUBSTITUTE(SUBSTITUTE(D249,"$","")," ",""))))</f>
      </c>
    </row>
    <row r="250" ht="15.75" customHeight="1" spans="7:7" x14ac:dyDescent="0.25">
      <c r="G250" s="4">
        <f>IF(D250="","",IF(ISNUMBER(D250),D250,VALUE(SUBSTITUTE(SUBSTITUTE(D250,"$","")," ",""))))</f>
      </c>
    </row>
    <row r="251" ht="15.75" customHeight="1" spans="7:7" x14ac:dyDescent="0.25">
      <c r="G251" s="4">
        <f>IF(D251="","",IF(ISNUMBER(D251),D251,VALUE(SUBSTITUTE(SUBSTITUTE(D251,"$","")," ",""))))</f>
      </c>
    </row>
    <row r="252" ht="15.75" customHeight="1" spans="7:7" x14ac:dyDescent="0.25">
      <c r="G252" s="4">
        <f>IF(D252="","",IF(ISNUMBER(D252),D252,VALUE(SUBSTITUTE(SUBSTITUTE(D252,"$","")," ",""))))</f>
      </c>
    </row>
    <row r="253" ht="15.75" customHeight="1" spans="7:7" x14ac:dyDescent="0.25">
      <c r="G253" s="4">
        <f>IF(D253="","",IF(ISNUMBER(D253),D253,VALUE(SUBSTITUTE(SUBSTITUTE(D253,"$","")," ",""))))</f>
      </c>
    </row>
    <row r="254" ht="15.75" customHeight="1" spans="7:7" x14ac:dyDescent="0.25">
      <c r="G254" s="4">
        <f>IF(D254="","",IF(ISNUMBER(D254),D254,VALUE(SUBSTITUTE(SUBSTITUTE(D254,"$","")," ",""))))</f>
      </c>
    </row>
    <row r="255" ht="15.75" customHeight="1" spans="7:7" x14ac:dyDescent="0.25">
      <c r="G255" s="4">
        <f>IF(D255="","",IF(ISNUMBER(D255),D255,VALUE(SUBSTITUTE(SUBSTITUTE(D255,"$","")," ",""))))</f>
      </c>
    </row>
    <row r="256" ht="15.75" customHeight="1" spans="7:7" x14ac:dyDescent="0.25">
      <c r="G256" s="4">
        <f>IF(D256="","",IF(ISNUMBER(D256),D256,VALUE(SUBSTITUTE(SUBSTITUTE(D256,"$","")," ",""))))</f>
      </c>
    </row>
    <row r="257" ht="15.75" customHeight="1" spans="7:7" x14ac:dyDescent="0.25">
      <c r="G257" s="4">
        <f>IF(D257="","",IF(ISNUMBER(D257),D257,VALUE(SUBSTITUTE(SUBSTITUTE(D257,"$","")," ",""))))</f>
      </c>
    </row>
    <row r="258" ht="15.75" customHeight="1" spans="7:7" x14ac:dyDescent="0.25">
      <c r="G258" s="4">
        <f>IF(D258="","",IF(ISNUMBER(D258),D258,VALUE(SUBSTITUTE(SUBSTITUTE(D258,"$","")," ",""))))</f>
      </c>
    </row>
    <row r="259" ht="15.75" customHeight="1" spans="7:7" x14ac:dyDescent="0.25">
      <c r="G259" s="4">
        <f>IF(D259="","",IF(ISNUMBER(D259),D259,VALUE(SUBSTITUTE(SUBSTITUTE(D259,"$","")," ",""))))</f>
      </c>
    </row>
    <row r="260" ht="15.75" customHeight="1" spans="7:7" x14ac:dyDescent="0.25">
      <c r="G260" s="4">
        <f>IF(D260="","",IF(ISNUMBER(D260),D260,VALUE(SUBSTITUTE(SUBSTITUTE(D260,"$","")," ",""))))</f>
      </c>
    </row>
    <row r="261" ht="15.75" customHeight="1" spans="7:7" x14ac:dyDescent="0.25">
      <c r="G261" s="4">
        <f>IF(D261="","",IF(ISNUMBER(D261),D261,VALUE(SUBSTITUTE(SUBSTITUTE(D261,"$","")," ",""))))</f>
      </c>
    </row>
    <row r="262" ht="15.75" customHeight="1" spans="7:7" x14ac:dyDescent="0.25">
      <c r="G262" s="4">
        <f>IF(D262="","",IF(ISNUMBER(D262),D262,VALUE(SUBSTITUTE(SUBSTITUTE(D262,"$","")," ",""))))</f>
      </c>
    </row>
    <row r="263" ht="15.75" customHeight="1" spans="7:7" x14ac:dyDescent="0.25">
      <c r="G263" s="4">
        <f>IF(D263="","",IF(ISNUMBER(D263),D263,VALUE(SUBSTITUTE(SUBSTITUTE(D263,"$","")," ",""))))</f>
      </c>
    </row>
    <row r="264" ht="15.75" customHeight="1" spans="7:7" x14ac:dyDescent="0.25">
      <c r="G264" s="4">
        <f>IF(D264="","",IF(ISNUMBER(D264),D264,VALUE(SUBSTITUTE(SUBSTITUTE(D264,"$","")," ",""))))</f>
      </c>
    </row>
    <row r="265" ht="15.75" customHeight="1" spans="7:7" x14ac:dyDescent="0.25">
      <c r="G265" s="4">
        <f>IF(D265="","",IF(ISNUMBER(D265),D265,VALUE(SUBSTITUTE(SUBSTITUTE(D265,"$","")," ",""))))</f>
      </c>
    </row>
    <row r="266" ht="15.75" customHeight="1" spans="7:7" x14ac:dyDescent="0.25">
      <c r="G266" s="4">
        <f>IF(D266="","",IF(ISNUMBER(D266),D266,VALUE(SUBSTITUTE(SUBSTITUTE(D266,"$","")," ",""))))</f>
      </c>
    </row>
    <row r="267" ht="15.75" customHeight="1" spans="7:7" x14ac:dyDescent="0.25">
      <c r="G267" s="4">
        <f>IF(D267="","",IF(ISNUMBER(D267),D267,VALUE(SUBSTITUTE(SUBSTITUTE(D267,"$","")," ",""))))</f>
      </c>
    </row>
    <row r="268" ht="15.75" customHeight="1" spans="7:7" x14ac:dyDescent="0.25">
      <c r="G268" s="4">
        <f>IF(D268="","",IF(ISNUMBER(D268),D268,VALUE(SUBSTITUTE(SUBSTITUTE(D268,"$","")," ",""))))</f>
      </c>
    </row>
    <row r="269" ht="15.75" customHeight="1" spans="7:7" x14ac:dyDescent="0.25">
      <c r="G269" s="4">
        <f>IF(D269="","",IF(ISNUMBER(D269),D269,VALUE(SUBSTITUTE(SUBSTITUTE(D269,"$","")," ",""))))</f>
      </c>
    </row>
    <row r="270" ht="15.75" customHeight="1" spans="7:7" x14ac:dyDescent="0.25">
      <c r="G270" s="4">
        <f>IF(D270="","",IF(ISNUMBER(D270),D270,VALUE(SUBSTITUTE(SUBSTITUTE(D270,"$","")," ",""))))</f>
      </c>
    </row>
    <row r="271" ht="15.75" customHeight="1" spans="7:7" x14ac:dyDescent="0.25">
      <c r="G271" s="4">
        <f>IF(D271="","",IF(ISNUMBER(D271),D271,VALUE(SUBSTITUTE(SUBSTITUTE(D271,"$","")," ",""))))</f>
      </c>
    </row>
    <row r="272" ht="15.75" customHeight="1" spans="7:7" x14ac:dyDescent="0.25">
      <c r="G272" s="4">
        <f>IF(D272="","",IF(ISNUMBER(D272),D272,VALUE(SUBSTITUTE(SUBSTITUTE(D272,"$","")," ",""))))</f>
      </c>
    </row>
    <row r="273" ht="15.75" customHeight="1" spans="7:7" x14ac:dyDescent="0.25">
      <c r="G273" s="4">
        <f>IF(D273="","",IF(ISNUMBER(D273),D273,VALUE(SUBSTITUTE(SUBSTITUTE(D273,"$","")," ",""))))</f>
      </c>
    </row>
    <row r="274" ht="15.75" customHeight="1" spans="7:7" x14ac:dyDescent="0.25">
      <c r="G274" s="4">
        <f>IF(D274="","",IF(ISNUMBER(D274),D274,VALUE(SUBSTITUTE(SUBSTITUTE(D274,"$","")," ",""))))</f>
      </c>
    </row>
    <row r="275" ht="15.75" customHeight="1" spans="7:7" x14ac:dyDescent="0.25">
      <c r="G275" s="4">
        <f>IF(D275="","",IF(ISNUMBER(D275),D275,VALUE(SUBSTITUTE(SUBSTITUTE(D275,"$","")," ",""))))</f>
      </c>
    </row>
    <row r="276" ht="15.75" customHeight="1" spans="7:7" x14ac:dyDescent="0.25">
      <c r="G276" s="4">
        <f>IF(D276="","",IF(ISNUMBER(D276),D276,VALUE(SUBSTITUTE(SUBSTITUTE(D276,"$","")," ",""))))</f>
      </c>
    </row>
    <row r="277" ht="15.75" customHeight="1" spans="7:7" x14ac:dyDescent="0.25">
      <c r="G277" s="4">
        <f>IF(D277="","",IF(ISNUMBER(D277),D277,VALUE(SUBSTITUTE(SUBSTITUTE(D277,"$","")," ",""))))</f>
      </c>
    </row>
    <row r="278" ht="15.75" customHeight="1" spans="7:7" x14ac:dyDescent="0.25">
      <c r="G278" s="4">
        <f>IF(D278="","",IF(ISNUMBER(D278),D278,VALUE(SUBSTITUTE(SUBSTITUTE(D278,"$","")," ",""))))</f>
      </c>
    </row>
    <row r="279" ht="15.75" customHeight="1" spans="7:7" x14ac:dyDescent="0.25">
      <c r="G279" s="4">
        <f>IF(D279="","",IF(ISNUMBER(D279),D279,VALUE(SUBSTITUTE(SUBSTITUTE(D279,"$","")," ",""))))</f>
      </c>
    </row>
    <row r="280" ht="15.75" customHeight="1" spans="7:7" x14ac:dyDescent="0.25">
      <c r="G280" s="4">
        <f>IF(D280="","",IF(ISNUMBER(D280),D280,VALUE(SUBSTITUTE(SUBSTITUTE(D280,"$","")," ",""))))</f>
      </c>
    </row>
    <row r="281" ht="15.75" customHeight="1" spans="7:7" x14ac:dyDescent="0.25">
      <c r="G281" s="4">
        <f>IF(D281="","",IF(ISNUMBER(D281),D281,VALUE(SUBSTITUTE(SUBSTITUTE(D281,"$","")," ",""))))</f>
      </c>
    </row>
    <row r="282" ht="15.75" customHeight="1" spans="7:7" x14ac:dyDescent="0.25">
      <c r="G282" s="4">
        <f>IF(D282="","",IF(ISNUMBER(D282),D282,VALUE(SUBSTITUTE(SUBSTITUTE(D282,"$","")," ",""))))</f>
      </c>
    </row>
    <row r="283" ht="15.75" customHeight="1" spans="7:7" x14ac:dyDescent="0.25">
      <c r="G283" s="4">
        <f>IF(D283="","",IF(ISNUMBER(D283),D283,VALUE(SUBSTITUTE(SUBSTITUTE(D283,"$","")," ",""))))</f>
      </c>
    </row>
    <row r="284" ht="15.75" customHeight="1" spans="7:7" x14ac:dyDescent="0.25">
      <c r="G284" s="4">
        <f>IF(D284="","",IF(ISNUMBER(D284),D284,VALUE(SUBSTITUTE(SUBSTITUTE(D284,"$","")," ",""))))</f>
      </c>
    </row>
    <row r="285" ht="15.75" customHeight="1" spans="7:7" x14ac:dyDescent="0.25">
      <c r="G285" s="4">
        <f>IF(D285="","",IF(ISNUMBER(D285),D285,VALUE(SUBSTITUTE(SUBSTITUTE(D285,"$","")," ",""))))</f>
      </c>
    </row>
    <row r="286" ht="15.75" customHeight="1" spans="7:7" x14ac:dyDescent="0.25">
      <c r="G286" s="4">
        <f>IF(D286="","",IF(ISNUMBER(D286),D286,VALUE(SUBSTITUTE(SUBSTITUTE(D286,"$","")," ",""))))</f>
      </c>
    </row>
    <row r="287" ht="15.75" customHeight="1" spans="7:7" x14ac:dyDescent="0.25">
      <c r="G287" s="4">
        <f>IF(D287="","",IF(ISNUMBER(D287),D287,VALUE(SUBSTITUTE(SUBSTITUTE(D287,"$","")," ",""))))</f>
      </c>
    </row>
    <row r="288" ht="15.75" customHeight="1" spans="7:7" x14ac:dyDescent="0.25">
      <c r="G288" s="4">
        <f>IF(D288="","",IF(ISNUMBER(D288),D288,VALUE(SUBSTITUTE(SUBSTITUTE(D288,"$","")," ",""))))</f>
      </c>
    </row>
    <row r="289" ht="15.75" customHeight="1" spans="7:7" x14ac:dyDescent="0.25">
      <c r="G289" s="4">
        <f>IF(D289="","",IF(ISNUMBER(D289),D289,VALUE(SUBSTITUTE(SUBSTITUTE(D289,"$","")," ",""))))</f>
      </c>
    </row>
    <row r="290" ht="15.75" customHeight="1" spans="7:7" x14ac:dyDescent="0.25">
      <c r="G290" s="4">
        <f>IF(D290="","",IF(ISNUMBER(D290),D290,VALUE(SUBSTITUTE(SUBSTITUTE(D290,"$","")," ",""))))</f>
      </c>
    </row>
    <row r="291" ht="15.75" customHeight="1" spans="7:7" x14ac:dyDescent="0.25">
      <c r="G291" s="4">
        <f>IF(D291="","",IF(ISNUMBER(D291),D291,VALUE(SUBSTITUTE(SUBSTITUTE(D291,"$","")," ",""))))</f>
      </c>
    </row>
    <row r="292" ht="15.75" customHeight="1" spans="7:7" x14ac:dyDescent="0.25">
      <c r="G292" s="4">
        <f>IF(D292="","",IF(ISNUMBER(D292),D292,VALUE(SUBSTITUTE(SUBSTITUTE(D292,"$","")," ",""))))</f>
      </c>
    </row>
    <row r="293" ht="15.75" customHeight="1" spans="7:7" x14ac:dyDescent="0.25">
      <c r="G293" s="4">
        <f>IF(D293="","",IF(ISNUMBER(D293),D293,VALUE(SUBSTITUTE(SUBSTITUTE(D293,"$","")," ",""))))</f>
      </c>
    </row>
    <row r="294" ht="15.75" customHeight="1" spans="7:7" x14ac:dyDescent="0.25">
      <c r="G294" s="4">
        <f>IF(D294="","",IF(ISNUMBER(D294),D294,VALUE(SUBSTITUTE(SUBSTITUTE(D294,"$","")," ",""))))</f>
      </c>
    </row>
    <row r="295" ht="15.75" customHeight="1" spans="7:7" x14ac:dyDescent="0.25">
      <c r="G295" s="4">
        <f>IF(D295="","",IF(ISNUMBER(D295),D295,VALUE(SUBSTITUTE(SUBSTITUTE(D295,"$","")," ",""))))</f>
      </c>
    </row>
    <row r="296" ht="15.75" customHeight="1" spans="7:7" x14ac:dyDescent="0.25">
      <c r="G296" s="4">
        <f>IF(D296="","",IF(ISNUMBER(D296),D296,VALUE(SUBSTITUTE(SUBSTITUTE(D296,"$","")," ",""))))</f>
      </c>
    </row>
    <row r="297" ht="15.75" customHeight="1" spans="7:7" x14ac:dyDescent="0.25">
      <c r="G297" s="4">
        <f>IF(D297="","",IF(ISNUMBER(D297),D297,VALUE(SUBSTITUTE(SUBSTITUTE(D297,"$","")," ",""))))</f>
      </c>
    </row>
    <row r="298" ht="15.75" customHeight="1" spans="7:7" x14ac:dyDescent="0.25">
      <c r="G298" s="4">
        <f>IF(D298="","",IF(ISNUMBER(D298),D298,VALUE(SUBSTITUTE(SUBSTITUTE(D298,"$","")," ",""))))</f>
      </c>
    </row>
    <row r="299" ht="15.75" customHeight="1" spans="7:7" x14ac:dyDescent="0.25">
      <c r="G299" s="4">
        <f>IF(D299="","",IF(ISNUMBER(D299),D299,VALUE(SUBSTITUTE(SUBSTITUTE(D299,"$","")," ",""))))</f>
      </c>
    </row>
    <row r="300" ht="15.75" customHeight="1" spans="7:7" x14ac:dyDescent="0.25">
      <c r="G300" s="4">
        <f>IF(D300="","",IF(ISNUMBER(D300),D300,VALUE(SUBSTITUTE(SUBSTITUTE(D300,"$","")," ",""))))</f>
      </c>
    </row>
    <row r="301" ht="15.75" customHeight="1" spans="7:7" x14ac:dyDescent="0.25">
      <c r="G301" s="4">
        <f>IF(D301="","",IF(ISNUMBER(D301),D301,VALUE(SUBSTITUTE(SUBSTITUTE(D301,"$","")," ",""))))</f>
      </c>
    </row>
    <row r="302" ht="15.75" customHeight="1" spans="7:7" x14ac:dyDescent="0.25">
      <c r="G302" s="4">
        <f>IF(D302="","",IF(ISNUMBER(D302),D302,VALUE(SUBSTITUTE(SUBSTITUTE(D302,"$","")," ",""))))</f>
      </c>
    </row>
    <row r="303" ht="15.75" customHeight="1" spans="7:7" x14ac:dyDescent="0.25">
      <c r="G303" s="4">
        <f>IF(D303="","",IF(ISNUMBER(D303),D303,VALUE(SUBSTITUTE(SUBSTITUTE(D303,"$","")," ",""))))</f>
      </c>
    </row>
    <row r="304" ht="15.75" customHeight="1" spans="7:7" x14ac:dyDescent="0.25">
      <c r="G304" s="4">
        <f>IF(D304="","",IF(ISNUMBER(D304),D304,VALUE(SUBSTITUTE(SUBSTITUTE(D304,"$","")," ",""))))</f>
      </c>
    </row>
    <row r="305" ht="15.75" customHeight="1" spans="7:7" x14ac:dyDescent="0.25">
      <c r="G305" s="4">
        <f>IF(D305="","",IF(ISNUMBER(D305),D305,VALUE(SUBSTITUTE(SUBSTITUTE(D305,"$","")," ",""))))</f>
      </c>
    </row>
    <row r="306" ht="15.75" customHeight="1" spans="7:7" x14ac:dyDescent="0.25">
      <c r="G306" s="4">
        <f>IF(D306="","",IF(ISNUMBER(D306),D306,VALUE(SUBSTITUTE(SUBSTITUTE(D306,"$","")," ",""))))</f>
      </c>
    </row>
    <row r="307" ht="15.75" customHeight="1" spans="7:7" x14ac:dyDescent="0.25">
      <c r="G307" s="4">
        <f>IF(D307="","",IF(ISNUMBER(D307),D307,VALUE(SUBSTITUTE(SUBSTITUTE(D307,"$","")," ",""))))</f>
      </c>
    </row>
    <row r="308" ht="15.75" customHeight="1" spans="7:7" x14ac:dyDescent="0.25">
      <c r="G308" s="4">
        <f>IF(D308="","",IF(ISNUMBER(D308),D308,VALUE(SUBSTITUTE(SUBSTITUTE(D308,"$","")," ",""))))</f>
      </c>
    </row>
    <row r="309" ht="15.75" customHeight="1" spans="7:7" x14ac:dyDescent="0.25">
      <c r="G309" s="4">
        <f>IF(D309="","",IF(ISNUMBER(D309),D309,VALUE(SUBSTITUTE(SUBSTITUTE(D309,"$","")," ",""))))</f>
      </c>
    </row>
    <row r="310" ht="15.75" customHeight="1" spans="7:7" x14ac:dyDescent="0.25">
      <c r="G310" s="4">
        <f>IF(D310="","",IF(ISNUMBER(D310),D310,VALUE(SUBSTITUTE(SUBSTITUTE(D310,"$","")," ",""))))</f>
      </c>
    </row>
    <row r="311" ht="15.75" customHeight="1" spans="7:7" x14ac:dyDescent="0.25">
      <c r="G311" s="4">
        <f>IF(D311="","",IF(ISNUMBER(D311),D311,VALUE(SUBSTITUTE(SUBSTITUTE(D311,"$","")," ",""))))</f>
      </c>
    </row>
    <row r="312" ht="15.75" customHeight="1" spans="7:7" x14ac:dyDescent="0.25">
      <c r="G312" s="4">
        <f>IF(D312="","",IF(ISNUMBER(D312),D312,VALUE(SUBSTITUTE(SUBSTITUTE(D312,"$","")," ",""))))</f>
      </c>
    </row>
    <row r="313" ht="15.75" customHeight="1" spans="7:7" x14ac:dyDescent="0.25">
      <c r="G313" s="4">
        <f>IF(D313="","",IF(ISNUMBER(D313),D313,VALUE(SUBSTITUTE(SUBSTITUTE(D313,"$","")," ",""))))</f>
      </c>
    </row>
    <row r="314" ht="15.75" customHeight="1" spans="7:7" x14ac:dyDescent="0.25">
      <c r="G314" s="4">
        <f>IF(D314="","",IF(ISNUMBER(D314),D314,VALUE(SUBSTITUTE(SUBSTITUTE(D314,"$","")," ",""))))</f>
      </c>
    </row>
    <row r="315" ht="15.75" customHeight="1" spans="7:7" x14ac:dyDescent="0.25">
      <c r="G315" s="4">
        <f>IF(D315="","",IF(ISNUMBER(D315),D315,VALUE(SUBSTITUTE(SUBSTITUTE(D315,"$","")," ",""))))</f>
      </c>
    </row>
    <row r="316" ht="15.75" customHeight="1" spans="7:7" x14ac:dyDescent="0.25">
      <c r="G316" s="4">
        <f>IF(D316="","",IF(ISNUMBER(D316),D316,VALUE(SUBSTITUTE(SUBSTITUTE(D316,"$","")," ",""))))</f>
      </c>
    </row>
    <row r="317" ht="15.75" customHeight="1" spans="7:7" x14ac:dyDescent="0.25">
      <c r="G317" s="4">
        <f>IF(D317="","",IF(ISNUMBER(D317),D317,VALUE(SUBSTITUTE(SUBSTITUTE(D317,"$","")," ",""))))</f>
      </c>
    </row>
    <row r="318" ht="15.75" customHeight="1" spans="7:7" x14ac:dyDescent="0.25">
      <c r="G318" s="4">
        <f>IF(D318="","",IF(ISNUMBER(D318),D318,VALUE(SUBSTITUTE(SUBSTITUTE(D318,"$","")," ",""))))</f>
      </c>
    </row>
    <row r="319" ht="15.75" customHeight="1" spans="7:7" x14ac:dyDescent="0.25">
      <c r="G319" s="4">
        <f>IF(D319="","",IF(ISNUMBER(D319),D319,VALUE(SUBSTITUTE(SUBSTITUTE(D319,"$","")," ",""))))</f>
      </c>
    </row>
    <row r="320" ht="15.75" customHeight="1" spans="7:7" x14ac:dyDescent="0.25">
      <c r="G320" s="4">
        <f>IF(D320="","",IF(ISNUMBER(D320),D320,VALUE(SUBSTITUTE(SUBSTITUTE(D320,"$","")," ",""))))</f>
      </c>
    </row>
    <row r="321" ht="15.75" customHeight="1" spans="7:7" x14ac:dyDescent="0.25">
      <c r="G321" s="4">
        <f>IF(D321="","",IF(ISNUMBER(D321),D321,VALUE(SUBSTITUTE(SUBSTITUTE(D321,"$","")," ",""))))</f>
      </c>
    </row>
    <row r="322" ht="15.75" customHeight="1" spans="7:7" x14ac:dyDescent="0.25">
      <c r="G322" s="4">
        <f>IF(D322="","",IF(ISNUMBER(D322),D322,VALUE(SUBSTITUTE(SUBSTITUTE(D322,"$","")," ",""))))</f>
      </c>
    </row>
    <row r="323" ht="15.75" customHeight="1" spans="7:7" x14ac:dyDescent="0.25">
      <c r="G323" s="4">
        <f>IF(D323="","",IF(ISNUMBER(D323),D323,VALUE(SUBSTITUTE(SUBSTITUTE(D323,"$","")," ",""))))</f>
      </c>
    </row>
    <row r="324" ht="15.75" customHeight="1" spans="7:7" x14ac:dyDescent="0.25">
      <c r="G324" s="4">
        <f>IF(D324="","",IF(ISNUMBER(D324),D324,VALUE(SUBSTITUTE(SUBSTITUTE(D324,"$","")," ",""))))</f>
      </c>
    </row>
    <row r="325" ht="15.75" customHeight="1" spans="7:7" x14ac:dyDescent="0.25">
      <c r="G325" s="4">
        <f>IF(D325="","",IF(ISNUMBER(D325),D325,VALUE(SUBSTITUTE(SUBSTITUTE(D325,"$","")," ",""))))</f>
      </c>
    </row>
    <row r="326" ht="15.75" customHeight="1" spans="7:7" x14ac:dyDescent="0.25">
      <c r="G326" s="4">
        <f>IF(D326="","",IF(ISNUMBER(D326),D326,VALUE(SUBSTITUTE(SUBSTITUTE(D326,"$","")," ",""))))</f>
      </c>
    </row>
    <row r="327" ht="15.75" customHeight="1" spans="7:7" x14ac:dyDescent="0.25">
      <c r="G327" s="4">
        <f>IF(D327="","",IF(ISNUMBER(D327),D327,VALUE(SUBSTITUTE(SUBSTITUTE(D327,"$","")," ",""))))</f>
      </c>
    </row>
    <row r="328" ht="15.75" customHeight="1" spans="7:7" x14ac:dyDescent="0.25">
      <c r="G328" s="4">
        <f>IF(D328="","",IF(ISNUMBER(D328),D328,VALUE(SUBSTITUTE(SUBSTITUTE(D328,"$","")," ",""))))</f>
      </c>
    </row>
    <row r="329" ht="15.75" customHeight="1" spans="7:7" x14ac:dyDescent="0.25">
      <c r="G329" s="4">
        <f>IF(D329="","",IF(ISNUMBER(D329),D329,VALUE(SUBSTITUTE(SUBSTITUTE(D329,"$","")," ",""))))</f>
      </c>
    </row>
    <row r="330" ht="15.75" customHeight="1" spans="7:7" x14ac:dyDescent="0.25">
      <c r="G330" s="4">
        <f>IF(D330="","",IF(ISNUMBER(D330),D330,VALUE(SUBSTITUTE(SUBSTITUTE(D330,"$","")," ",""))))</f>
      </c>
    </row>
    <row r="331" ht="15.75" customHeight="1" spans="7:7" x14ac:dyDescent="0.25">
      <c r="G331" s="4">
        <f>IF(D331="","",IF(ISNUMBER(D331),D331,VALUE(SUBSTITUTE(SUBSTITUTE(D331,"$","")," ",""))))</f>
      </c>
    </row>
    <row r="332" ht="15.75" customHeight="1" spans="7:7" x14ac:dyDescent="0.25">
      <c r="G332" s="4">
        <f>IF(D332="","",IF(ISNUMBER(D332),D332,VALUE(SUBSTITUTE(SUBSTITUTE(D332,"$","")," ",""))))</f>
      </c>
    </row>
    <row r="333" ht="15.75" customHeight="1" spans="7:7" x14ac:dyDescent="0.25">
      <c r="G333" s="4">
        <f>IF(D333="","",IF(ISNUMBER(D333),D333,VALUE(SUBSTITUTE(SUBSTITUTE(D333,"$","")," ",""))))</f>
      </c>
    </row>
    <row r="334" ht="15.75" customHeight="1" spans="7:7" x14ac:dyDescent="0.25">
      <c r="G334" s="4">
        <f>IF(D334="","",IF(ISNUMBER(D334),D334,VALUE(SUBSTITUTE(SUBSTITUTE(D334,"$","")," ",""))))</f>
      </c>
    </row>
    <row r="335" ht="15.75" customHeight="1" spans="7:7" x14ac:dyDescent="0.25">
      <c r="G335" s="4">
        <f>IF(D335="","",IF(ISNUMBER(D335),D335,VALUE(SUBSTITUTE(SUBSTITUTE(D335,"$","")," ",""))))</f>
      </c>
    </row>
    <row r="336" ht="15.75" customHeight="1" spans="7:7" x14ac:dyDescent="0.25">
      <c r="G336" s="4">
        <f>IF(D336="","",IF(ISNUMBER(D336),D336,VALUE(SUBSTITUTE(SUBSTITUTE(D336,"$","")," ",""))))</f>
      </c>
    </row>
    <row r="337" ht="15.75" customHeight="1" spans="7:7" x14ac:dyDescent="0.25">
      <c r="G337" s="4">
        <f>IF(D337="","",IF(ISNUMBER(D337),D337,VALUE(SUBSTITUTE(SUBSTITUTE(D337,"$","")," ",""))))</f>
      </c>
    </row>
    <row r="338" ht="15.75" customHeight="1" spans="7:7" x14ac:dyDescent="0.25">
      <c r="G338" s="4">
        <f>IF(D338="","",IF(ISNUMBER(D338),D338,VALUE(SUBSTITUTE(SUBSTITUTE(D338,"$","")," ",""))))</f>
      </c>
    </row>
    <row r="339" ht="15.75" customHeight="1" spans="7:7" x14ac:dyDescent="0.25">
      <c r="G339" s="4">
        <f>IF(D339="","",IF(ISNUMBER(D339),D339,VALUE(SUBSTITUTE(SUBSTITUTE(D339,"$","")," ",""))))</f>
      </c>
    </row>
    <row r="340" ht="15.75" customHeight="1" spans="7:7" x14ac:dyDescent="0.25">
      <c r="G340" s="4">
        <f>IF(D340="","",IF(ISNUMBER(D340),D340,VALUE(SUBSTITUTE(SUBSTITUTE(D340,"$","")," ",""))))</f>
      </c>
    </row>
    <row r="341" ht="15.75" customHeight="1" spans="7:7" x14ac:dyDescent="0.25">
      <c r="G341" s="4">
        <f>IF(D341="","",IF(ISNUMBER(D341),D341,VALUE(SUBSTITUTE(SUBSTITUTE(D341,"$","")," ",""))))</f>
      </c>
    </row>
    <row r="342" ht="15.75" customHeight="1" spans="7:7" x14ac:dyDescent="0.25">
      <c r="G342" s="4">
        <f>IF(D342="","",IF(ISNUMBER(D342),D342,VALUE(SUBSTITUTE(SUBSTITUTE(D342,"$","")," ",""))))</f>
      </c>
    </row>
    <row r="343" ht="15.75" customHeight="1" spans="7:7" x14ac:dyDescent="0.25">
      <c r="G343" s="4">
        <f>IF(D343="","",IF(ISNUMBER(D343),D343,VALUE(SUBSTITUTE(SUBSTITUTE(D343,"$","")," ",""))))</f>
      </c>
    </row>
    <row r="344" ht="15.75" customHeight="1" spans="7:7" x14ac:dyDescent="0.25">
      <c r="G344" s="4">
        <f>IF(D344="","",IF(ISNUMBER(D344),D344,VALUE(SUBSTITUTE(SUBSTITUTE(D344,"$","")," ",""))))</f>
      </c>
    </row>
    <row r="345" ht="15.75" customHeight="1" spans="7:7" x14ac:dyDescent="0.25">
      <c r="G345" s="4">
        <f>IF(D345="","",IF(ISNUMBER(D345),D345,VALUE(SUBSTITUTE(SUBSTITUTE(D345,"$","")," ",""))))</f>
      </c>
    </row>
    <row r="346" ht="15.75" customHeight="1" spans="7:7" x14ac:dyDescent="0.25">
      <c r="G346" s="4">
        <f>IF(D346="","",IF(ISNUMBER(D346),D346,VALUE(SUBSTITUTE(SUBSTITUTE(D346,"$","")," ",""))))</f>
      </c>
    </row>
    <row r="347" ht="15.75" customHeight="1" spans="7:7" x14ac:dyDescent="0.25">
      <c r="G347" s="4">
        <f>IF(D347="","",IF(ISNUMBER(D347),D347,VALUE(SUBSTITUTE(SUBSTITUTE(D347,"$","")," ",""))))</f>
      </c>
    </row>
    <row r="348" ht="15.75" customHeight="1" spans="7:7" x14ac:dyDescent="0.25">
      <c r="G348" s="4">
        <f>IF(D348="","",IF(ISNUMBER(D348),D348,VALUE(SUBSTITUTE(SUBSTITUTE(D348,"$","")," ",""))))</f>
      </c>
    </row>
    <row r="349" ht="15.75" customHeight="1" spans="7:7" x14ac:dyDescent="0.25">
      <c r="G349" s="4">
        <f>IF(D349="","",IF(ISNUMBER(D349),D349,VALUE(SUBSTITUTE(SUBSTITUTE(D349,"$","")," ",""))))</f>
      </c>
    </row>
    <row r="350" ht="15.75" customHeight="1" spans="7:7" x14ac:dyDescent="0.25">
      <c r="G350" s="4">
        <f>IF(D350="","",IF(ISNUMBER(D350),D350,VALUE(SUBSTITUTE(SUBSTITUTE(D350,"$","")," ",""))))</f>
      </c>
    </row>
    <row r="351" ht="15.75" customHeight="1" spans="7:7" x14ac:dyDescent="0.25">
      <c r="G351" s="4">
        <f>IF(D351="","",IF(ISNUMBER(D351),D351,VALUE(SUBSTITUTE(SUBSTITUTE(D351,"$","")," ",""))))</f>
      </c>
    </row>
    <row r="352" ht="15.75" customHeight="1" spans="7:7" x14ac:dyDescent="0.25">
      <c r="G352" s="4">
        <f>IF(D352="","",IF(ISNUMBER(D352),D352,VALUE(SUBSTITUTE(SUBSTITUTE(D352,"$","")," ",""))))</f>
      </c>
    </row>
    <row r="353" ht="15.75" customHeight="1" spans="7:7" x14ac:dyDescent="0.25">
      <c r="G353" s="4">
        <f>IF(D353="","",IF(ISNUMBER(D353),D353,VALUE(SUBSTITUTE(SUBSTITUTE(D353,"$","")," ",""))))</f>
      </c>
    </row>
    <row r="354" ht="15.75" customHeight="1" spans="7:7" x14ac:dyDescent="0.25">
      <c r="G354" s="4">
        <f>IF(D354="","",IF(ISNUMBER(D354),D354,VALUE(SUBSTITUTE(SUBSTITUTE(D354,"$","")," ",""))))</f>
      </c>
    </row>
    <row r="355" ht="15.75" customHeight="1" spans="7:7" x14ac:dyDescent="0.25">
      <c r="G355" s="4">
        <f>IF(D355="","",IF(ISNUMBER(D355),D355,VALUE(SUBSTITUTE(SUBSTITUTE(D355,"$","")," ",""))))</f>
      </c>
    </row>
    <row r="356" ht="15.75" customHeight="1" spans="7:7" x14ac:dyDescent="0.25">
      <c r="G356" s="4">
        <f>IF(D356="","",IF(ISNUMBER(D356),D356,VALUE(SUBSTITUTE(SUBSTITUTE(D356,"$","")," ",""))))</f>
      </c>
    </row>
    <row r="357" ht="15.75" customHeight="1" spans="7:7" x14ac:dyDescent="0.25">
      <c r="G357" s="4">
        <f>IF(D357="","",IF(ISNUMBER(D357),D357,VALUE(SUBSTITUTE(SUBSTITUTE(D357,"$","")," ",""))))</f>
      </c>
    </row>
    <row r="358" ht="15.75" customHeight="1" spans="7:7" x14ac:dyDescent="0.25">
      <c r="G358" s="4">
        <f>IF(D358="","",IF(ISNUMBER(D358),D358,VALUE(SUBSTITUTE(SUBSTITUTE(D358,"$","")," ",""))))</f>
      </c>
    </row>
    <row r="359" ht="15.75" customHeight="1" spans="7:7" x14ac:dyDescent="0.25">
      <c r="G359" s="4">
        <f>IF(D359="","",IF(ISNUMBER(D359),D359,VALUE(SUBSTITUTE(SUBSTITUTE(D359,"$","")," ",""))))</f>
      </c>
    </row>
    <row r="360" ht="15.75" customHeight="1" spans="7:7" x14ac:dyDescent="0.25">
      <c r="G360" s="4">
        <f>IF(D360="","",IF(ISNUMBER(D360),D360,VALUE(SUBSTITUTE(SUBSTITUTE(D360,"$","")," ",""))))</f>
      </c>
    </row>
    <row r="361" ht="15.75" customHeight="1" spans="7:7" x14ac:dyDescent="0.25">
      <c r="G361" s="4">
        <f>IF(D361="","",IF(ISNUMBER(D361),D361,VALUE(SUBSTITUTE(SUBSTITUTE(D361,"$","")," ",""))))</f>
      </c>
    </row>
    <row r="362" ht="15.75" customHeight="1" spans="7:7" x14ac:dyDescent="0.25">
      <c r="G362" s="4">
        <f>IF(D362="","",IF(ISNUMBER(D362),D362,VALUE(SUBSTITUTE(SUBSTITUTE(D362,"$","")," ",""))))</f>
      </c>
    </row>
    <row r="363" ht="15.75" customHeight="1" spans="7:7" x14ac:dyDescent="0.25">
      <c r="G363" s="4">
        <f>IF(D363="","",IF(ISNUMBER(D363),D363,VALUE(SUBSTITUTE(SUBSTITUTE(D363,"$","")," ",""))))</f>
      </c>
    </row>
    <row r="364" ht="15.75" customHeight="1" spans="7:7" x14ac:dyDescent="0.25">
      <c r="G364" s="4">
        <f>IF(D364="","",IF(ISNUMBER(D364),D364,VALUE(SUBSTITUTE(SUBSTITUTE(D364,"$","")," ",""))))</f>
      </c>
    </row>
    <row r="365" ht="15.75" customHeight="1" spans="7:7" x14ac:dyDescent="0.25">
      <c r="G365" s="4">
        <f>IF(D365="","",IF(ISNUMBER(D365),D365,VALUE(SUBSTITUTE(SUBSTITUTE(D365,"$","")," ",""))))</f>
      </c>
    </row>
    <row r="366" ht="15.75" customHeight="1" spans="7:7" x14ac:dyDescent="0.25">
      <c r="G366" s="4">
        <f>IF(D366="","",IF(ISNUMBER(D366),D366,VALUE(SUBSTITUTE(SUBSTITUTE(D366,"$","")," ",""))))</f>
      </c>
    </row>
    <row r="367" ht="15.75" customHeight="1" spans="7:7" x14ac:dyDescent="0.25">
      <c r="G367" s="4">
        <f>IF(D367="","",IF(ISNUMBER(D367),D367,VALUE(SUBSTITUTE(SUBSTITUTE(D367,"$","")," ",""))))</f>
      </c>
    </row>
    <row r="368" ht="15.75" customHeight="1" spans="7:7" x14ac:dyDescent="0.25">
      <c r="G368" s="4">
        <f>IF(D368="","",IF(ISNUMBER(D368),D368,VALUE(SUBSTITUTE(SUBSTITUTE(D368,"$","")," ",""))))</f>
      </c>
    </row>
    <row r="369" ht="15.75" customHeight="1" spans="7:7" x14ac:dyDescent="0.25">
      <c r="G369" s="4">
        <f>IF(D369="","",IF(ISNUMBER(D369),D369,VALUE(SUBSTITUTE(SUBSTITUTE(D369,"$","")," ",""))))</f>
      </c>
    </row>
    <row r="370" ht="15.75" customHeight="1" spans="7:7" x14ac:dyDescent="0.25">
      <c r="G370" s="4">
        <f>IF(D370="","",IF(ISNUMBER(D370),D370,VALUE(SUBSTITUTE(SUBSTITUTE(D370,"$","")," ",""))))</f>
      </c>
    </row>
    <row r="371" ht="15.75" customHeight="1" spans="7:7" x14ac:dyDescent="0.25">
      <c r="G371" s="4">
        <f>IF(D371="","",IF(ISNUMBER(D371),D371,VALUE(SUBSTITUTE(SUBSTITUTE(D371,"$","")," ",""))))</f>
      </c>
    </row>
    <row r="372" ht="15.75" customHeight="1" spans="7:7" x14ac:dyDescent="0.25">
      <c r="G372" s="4">
        <f>IF(D372="","",IF(ISNUMBER(D372),D372,VALUE(SUBSTITUTE(SUBSTITUTE(D372,"$","")," ",""))))</f>
      </c>
    </row>
    <row r="373" ht="15.75" customHeight="1" spans="7:7" x14ac:dyDescent="0.25">
      <c r="G373" s="4">
        <f>IF(D373="","",IF(ISNUMBER(D373),D373,VALUE(SUBSTITUTE(SUBSTITUTE(D373,"$","")," ",""))))</f>
      </c>
    </row>
    <row r="374" ht="15.75" customHeight="1" spans="7:7" x14ac:dyDescent="0.25">
      <c r="G374" s="4">
        <f>IF(D374="","",IF(ISNUMBER(D374),D374,VALUE(SUBSTITUTE(SUBSTITUTE(D374,"$","")," ",""))))</f>
      </c>
    </row>
    <row r="375" ht="15.75" customHeight="1" spans="7:7" x14ac:dyDescent="0.25">
      <c r="G375" s="4">
        <f>IF(D375="","",IF(ISNUMBER(D375),D375,VALUE(SUBSTITUTE(SUBSTITUTE(D375,"$","")," ",""))))</f>
      </c>
    </row>
    <row r="376" ht="15.75" customHeight="1" spans="7:7" x14ac:dyDescent="0.25">
      <c r="G376" s="4">
        <f>IF(D376="","",IF(ISNUMBER(D376),D376,VALUE(SUBSTITUTE(SUBSTITUTE(D376,"$","")," ",""))))</f>
      </c>
    </row>
    <row r="377" ht="15.75" customHeight="1" spans="7:7" x14ac:dyDescent="0.25">
      <c r="G377" s="4">
        <f>IF(D377="","",IF(ISNUMBER(D377),D377,VALUE(SUBSTITUTE(SUBSTITUTE(D377,"$","")," ",""))))</f>
      </c>
    </row>
    <row r="378" ht="15.75" customHeight="1" spans="7:7" x14ac:dyDescent="0.25">
      <c r="G378" s="4">
        <f>IF(D378="","",IF(ISNUMBER(D378),D378,VALUE(SUBSTITUTE(SUBSTITUTE(D378,"$","")," ",""))))</f>
      </c>
    </row>
    <row r="379" ht="15.75" customHeight="1" spans="7:7" x14ac:dyDescent="0.25">
      <c r="G379" s="4">
        <f>IF(D379="","",IF(ISNUMBER(D379),D379,VALUE(SUBSTITUTE(SUBSTITUTE(D379,"$","")," ",""))))</f>
      </c>
    </row>
    <row r="380" ht="15.75" customHeight="1" spans="7:7" x14ac:dyDescent="0.25">
      <c r="G380" s="4">
        <f>IF(D380="","",IF(ISNUMBER(D380),D380,VALUE(SUBSTITUTE(SUBSTITUTE(D380,"$","")," ",""))))</f>
      </c>
    </row>
    <row r="381" ht="15.75" customHeight="1" spans="7:7" x14ac:dyDescent="0.25">
      <c r="G381" s="4">
        <f>IF(D381="","",IF(ISNUMBER(D381),D381,VALUE(SUBSTITUTE(SUBSTITUTE(D381,"$","")," ",""))))</f>
      </c>
    </row>
    <row r="382" ht="15.75" customHeight="1" spans="7:7" x14ac:dyDescent="0.25">
      <c r="G382" s="4">
        <f>IF(D382="","",IF(ISNUMBER(D382),D382,VALUE(SUBSTITUTE(SUBSTITUTE(D382,"$","")," ",""))))</f>
      </c>
    </row>
    <row r="383" ht="15.75" customHeight="1" spans="7:7" x14ac:dyDescent="0.25">
      <c r="G383" s="4">
        <f>IF(D383="","",IF(ISNUMBER(D383),D383,VALUE(SUBSTITUTE(SUBSTITUTE(D383,"$","")," ",""))))</f>
      </c>
    </row>
    <row r="384" ht="15.75" customHeight="1" spans="7:7" x14ac:dyDescent="0.25">
      <c r="G384" s="4">
        <f>IF(D384="","",IF(ISNUMBER(D384),D384,VALUE(SUBSTITUTE(SUBSTITUTE(D384,"$","")," ",""))))</f>
      </c>
    </row>
    <row r="385" ht="15.75" customHeight="1" spans="7:7" x14ac:dyDescent="0.25">
      <c r="G385" s="4">
        <f>IF(D385="","",IF(ISNUMBER(D385),D385,VALUE(SUBSTITUTE(SUBSTITUTE(D385,"$","")," ",""))))</f>
      </c>
    </row>
    <row r="386" ht="15.75" customHeight="1" spans="7:7" x14ac:dyDescent="0.25">
      <c r="G386" s="4">
        <f>IF(D386="","",IF(ISNUMBER(D386),D386,VALUE(SUBSTITUTE(SUBSTITUTE(D386,"$","")," ",""))))</f>
      </c>
    </row>
    <row r="387" ht="15.75" customHeight="1" spans="7:7" x14ac:dyDescent="0.25">
      <c r="G387" s="4">
        <f>IF(D387="","",IF(ISNUMBER(D387),D387,VALUE(SUBSTITUTE(SUBSTITUTE(D387,"$","")," ",""))))</f>
      </c>
    </row>
    <row r="388" ht="15.75" customHeight="1" spans="7:7" x14ac:dyDescent="0.25">
      <c r="G388" s="4">
        <f>IF(D388="","",IF(ISNUMBER(D388),D388,VALUE(SUBSTITUTE(SUBSTITUTE(D388,"$","")," ",""))))</f>
      </c>
    </row>
    <row r="389" ht="15.75" customHeight="1" spans="7:7" x14ac:dyDescent="0.25">
      <c r="G389" s="4">
        <f>IF(D389="","",IF(ISNUMBER(D389),D389,VALUE(SUBSTITUTE(SUBSTITUTE(D389,"$","")," ",""))))</f>
      </c>
    </row>
    <row r="390" ht="15.75" customHeight="1" spans="7:7" x14ac:dyDescent="0.25">
      <c r="G390" s="4">
        <f>IF(D390="","",IF(ISNUMBER(D390),D390,VALUE(SUBSTITUTE(SUBSTITUTE(D390,"$","")," ",""))))</f>
      </c>
    </row>
    <row r="391" ht="15.75" customHeight="1" spans="7:7" x14ac:dyDescent="0.25">
      <c r="G391" s="4">
        <f>IF(D391="","",IF(ISNUMBER(D391),D391,VALUE(SUBSTITUTE(SUBSTITUTE(D391,"$","")," ",""))))</f>
      </c>
    </row>
    <row r="392" ht="15.75" customHeight="1" spans="7:7" x14ac:dyDescent="0.25">
      <c r="G392" s="4">
        <f>IF(D392="","",IF(ISNUMBER(D392),D392,VALUE(SUBSTITUTE(SUBSTITUTE(D392,"$","")," ",""))))</f>
      </c>
    </row>
    <row r="393" ht="15.75" customHeight="1" spans="7:7" x14ac:dyDescent="0.25">
      <c r="G393" s="4">
        <f>IF(D393="","",IF(ISNUMBER(D393),D393,VALUE(SUBSTITUTE(SUBSTITUTE(D393,"$","")," ",""))))</f>
      </c>
    </row>
    <row r="394" ht="15.75" customHeight="1" spans="7:7" x14ac:dyDescent="0.25">
      <c r="G394" s="4">
        <f>IF(D394="","",IF(ISNUMBER(D394),D394,VALUE(SUBSTITUTE(SUBSTITUTE(D394,"$","")," ",""))))</f>
      </c>
    </row>
    <row r="395" ht="15.75" customHeight="1" spans="7:7" x14ac:dyDescent="0.25">
      <c r="G395" s="4">
        <f>IF(D395="","",IF(ISNUMBER(D395),D395,VALUE(SUBSTITUTE(SUBSTITUTE(D395,"$","")," ",""))))</f>
      </c>
    </row>
    <row r="396" ht="15.75" customHeight="1" spans="7:7" x14ac:dyDescent="0.25">
      <c r="G396" s="4">
        <f>IF(D396="","",IF(ISNUMBER(D396),D396,VALUE(SUBSTITUTE(SUBSTITUTE(D396,"$","")," ",""))))</f>
      </c>
    </row>
    <row r="397" ht="15.75" customHeight="1" spans="7:7" x14ac:dyDescent="0.25">
      <c r="G397" s="4">
        <f>IF(D397="","",IF(ISNUMBER(D397),D397,VALUE(SUBSTITUTE(SUBSTITUTE(D397,"$","")," ",""))))</f>
      </c>
    </row>
    <row r="398" ht="15.75" customHeight="1" spans="7:7" x14ac:dyDescent="0.25">
      <c r="G398" s="4">
        <f>IF(D398="","",IF(ISNUMBER(D398),D398,VALUE(SUBSTITUTE(SUBSTITUTE(D398,"$","")," ",""))))</f>
      </c>
    </row>
    <row r="399" ht="15.75" customHeight="1" spans="7:7" x14ac:dyDescent="0.25">
      <c r="G399" s="4">
        <f>IF(D399="","",IF(ISNUMBER(D399),D399,VALUE(SUBSTITUTE(SUBSTITUTE(D399,"$","")," ",""))))</f>
      </c>
    </row>
    <row r="400" ht="15.75" customHeight="1" spans="7:7" x14ac:dyDescent="0.25">
      <c r="G400" s="4">
        <f>IF(D400="","",IF(ISNUMBER(D400),D400,VALUE(SUBSTITUTE(SUBSTITUTE(D400,"$","")," ",""))))</f>
      </c>
    </row>
    <row r="401" ht="15.75" customHeight="1" spans="7:7" x14ac:dyDescent="0.25">
      <c r="G401" s="4">
        <f>IF(D401="","",IF(ISNUMBER(D401),D401,VALUE(SUBSTITUTE(SUBSTITUTE(D401,"$","")," ",""))))</f>
      </c>
    </row>
    <row r="402" ht="15.75" customHeight="1" spans="7:7" x14ac:dyDescent="0.25">
      <c r="G402" s="4">
        <f>IF(D402="","",IF(ISNUMBER(D402),D402,VALUE(SUBSTITUTE(SUBSTITUTE(D402,"$","")," ",""))))</f>
      </c>
    </row>
    <row r="403" ht="15.75" customHeight="1" spans="7:7" x14ac:dyDescent="0.25">
      <c r="G403" s="4">
        <f>IF(D403="","",IF(ISNUMBER(D403),D403,VALUE(SUBSTITUTE(SUBSTITUTE(D403,"$","")," ",""))))</f>
      </c>
    </row>
    <row r="404" ht="15.75" customHeight="1" spans="7:7" x14ac:dyDescent="0.25">
      <c r="G404" s="4">
        <f>IF(D404="","",IF(ISNUMBER(D404),D404,VALUE(SUBSTITUTE(SUBSTITUTE(D404,"$","")," ",""))))</f>
      </c>
    </row>
    <row r="405" ht="15.75" customHeight="1" spans="7:7" x14ac:dyDescent="0.25">
      <c r="G405" s="4">
        <f>IF(D405="","",IF(ISNUMBER(D405),D405,VALUE(SUBSTITUTE(SUBSTITUTE(D405,"$","")," ",""))))</f>
      </c>
    </row>
    <row r="406" ht="15.75" customHeight="1" spans="7:7" x14ac:dyDescent="0.25">
      <c r="G406" s="4">
        <f>IF(D406="","",IF(ISNUMBER(D406),D406,VALUE(SUBSTITUTE(SUBSTITUTE(D406,"$","")," ",""))))</f>
      </c>
    </row>
    <row r="407" ht="15.75" customHeight="1" spans="7:7" x14ac:dyDescent="0.25">
      <c r="G407" s="4">
        <f>IF(D407="","",IF(ISNUMBER(D407),D407,VALUE(SUBSTITUTE(SUBSTITUTE(D407,"$","")," ",""))))</f>
      </c>
    </row>
    <row r="408" ht="15.75" customHeight="1" spans="7:7" x14ac:dyDescent="0.25">
      <c r="G408" s="4">
        <f>IF(D408="","",IF(ISNUMBER(D408),D408,VALUE(SUBSTITUTE(SUBSTITUTE(D408,"$","")," ",""))))</f>
      </c>
    </row>
    <row r="409" ht="15.75" customHeight="1" spans="7:7" x14ac:dyDescent="0.25">
      <c r="G409" s="4">
        <f>IF(D409="","",IF(ISNUMBER(D409),D409,VALUE(SUBSTITUTE(SUBSTITUTE(D409,"$","")," ",""))))</f>
      </c>
    </row>
    <row r="410" ht="15.75" customHeight="1" spans="7:7" x14ac:dyDescent="0.25">
      <c r="G410" s="4">
        <f>IF(D410="","",IF(ISNUMBER(D410),D410,VALUE(SUBSTITUTE(SUBSTITUTE(D410,"$","")," ",""))))</f>
      </c>
    </row>
    <row r="411" ht="15.75" customHeight="1" spans="7:7" x14ac:dyDescent="0.25">
      <c r="G411" s="4">
        <f>IF(D411="","",IF(ISNUMBER(D411),D411,VALUE(SUBSTITUTE(SUBSTITUTE(D411,"$","")," ",""))))</f>
      </c>
    </row>
    <row r="412" ht="15.75" customHeight="1" spans="7:7" x14ac:dyDescent="0.25">
      <c r="G412" s="4">
        <f>IF(D412="","",IF(ISNUMBER(D412),D412,VALUE(SUBSTITUTE(SUBSTITUTE(D412,"$","")," ",""))))</f>
      </c>
    </row>
    <row r="413" ht="15.75" customHeight="1" spans="7:7" x14ac:dyDescent="0.25">
      <c r="G413" s="4">
        <f>IF(D413="","",IF(ISNUMBER(D413),D413,VALUE(SUBSTITUTE(SUBSTITUTE(D413,"$","")," ",""))))</f>
      </c>
    </row>
    <row r="414" ht="15.75" customHeight="1" spans="7:7" x14ac:dyDescent="0.25">
      <c r="G414" s="4">
        <f>IF(D414="","",IF(ISNUMBER(D414),D414,VALUE(SUBSTITUTE(SUBSTITUTE(D414,"$","")," ",""))))</f>
      </c>
    </row>
    <row r="415" ht="15.75" customHeight="1" spans="7:7" x14ac:dyDescent="0.25">
      <c r="G415" s="4">
        <f>IF(D415="","",IF(ISNUMBER(D415),D415,VALUE(SUBSTITUTE(SUBSTITUTE(D415,"$","")," ",""))))</f>
      </c>
    </row>
    <row r="416" ht="15.75" customHeight="1" spans="7:7" x14ac:dyDescent="0.25">
      <c r="G416" s="4">
        <f>IF(D416="","",IF(ISNUMBER(D416),D416,VALUE(SUBSTITUTE(SUBSTITUTE(D416,"$","")," ",""))))</f>
      </c>
    </row>
    <row r="417" ht="15.75" customHeight="1" spans="7:7" x14ac:dyDescent="0.25">
      <c r="G417" s="4">
        <f>IF(D417="","",IF(ISNUMBER(D417),D417,VALUE(SUBSTITUTE(SUBSTITUTE(D417,"$","")," ",""))))</f>
      </c>
    </row>
    <row r="418" ht="15.75" customHeight="1" spans="7:7" x14ac:dyDescent="0.25">
      <c r="G418" s="4">
        <f>IF(D418="","",IF(ISNUMBER(D418),D418,VALUE(SUBSTITUTE(SUBSTITUTE(D418,"$","")," ",""))))</f>
      </c>
    </row>
    <row r="419" ht="15.75" customHeight="1" spans="7:7" x14ac:dyDescent="0.25">
      <c r="G419" s="4">
        <f>IF(D419="","",IF(ISNUMBER(D419),D419,VALUE(SUBSTITUTE(SUBSTITUTE(D419,"$","")," ",""))))</f>
      </c>
    </row>
    <row r="420" ht="15.75" customHeight="1" spans="7:7" x14ac:dyDescent="0.25">
      <c r="G420" s="4">
        <f>IF(D420="","",IF(ISNUMBER(D420),D420,VALUE(SUBSTITUTE(SUBSTITUTE(D420,"$","")," ",""))))</f>
      </c>
    </row>
    <row r="421" ht="15.75" customHeight="1" spans="7:7" x14ac:dyDescent="0.25">
      <c r="G421" s="4">
        <f>IF(D421="","",IF(ISNUMBER(D421),D421,VALUE(SUBSTITUTE(SUBSTITUTE(D421,"$","")," ",""))))</f>
      </c>
    </row>
    <row r="422" ht="15.75" customHeight="1" spans="7:7" x14ac:dyDescent="0.25">
      <c r="G422" s="4">
        <f>IF(D422="","",IF(ISNUMBER(D422),D422,VALUE(SUBSTITUTE(SUBSTITUTE(D422,"$","")," ",""))))</f>
      </c>
    </row>
    <row r="423" ht="15.75" customHeight="1" spans="7:7" x14ac:dyDescent="0.25">
      <c r="G423" s="4">
        <f>IF(D423="","",IF(ISNUMBER(D423),D423,VALUE(SUBSTITUTE(SUBSTITUTE(D423,"$","")," ",""))))</f>
      </c>
    </row>
    <row r="424" ht="15.75" customHeight="1" spans="7:7" x14ac:dyDescent="0.25">
      <c r="G424" s="4">
        <f>IF(D424="","",IF(ISNUMBER(D424),D424,VALUE(SUBSTITUTE(SUBSTITUTE(D424,"$","")," ",""))))</f>
      </c>
    </row>
    <row r="425" ht="15.75" customHeight="1" spans="7:7" x14ac:dyDescent="0.25">
      <c r="G425" s="4">
        <f>IF(D425="","",IF(ISNUMBER(D425),D425,VALUE(SUBSTITUTE(SUBSTITUTE(D425,"$","")," ",""))))</f>
      </c>
    </row>
    <row r="426" ht="15.75" customHeight="1" spans="7:7" x14ac:dyDescent="0.25">
      <c r="G426" s="4">
        <f>IF(D426="","",IF(ISNUMBER(D426),D426,VALUE(SUBSTITUTE(SUBSTITUTE(D426,"$","")," ",""))))</f>
      </c>
    </row>
    <row r="427" ht="15.75" customHeight="1" spans="7:7" x14ac:dyDescent="0.25">
      <c r="G427" s="4">
        <f>IF(D427="","",IF(ISNUMBER(D427),D427,VALUE(SUBSTITUTE(SUBSTITUTE(D427,"$","")," ",""))))</f>
      </c>
    </row>
    <row r="428" ht="15.75" customHeight="1" spans="7:7" x14ac:dyDescent="0.25">
      <c r="G428" s="4">
        <f>IF(D428="","",IF(ISNUMBER(D428),D428,VALUE(SUBSTITUTE(SUBSTITUTE(D428,"$","")," ",""))))</f>
      </c>
    </row>
    <row r="429" ht="15.75" customHeight="1" spans="7:7" x14ac:dyDescent="0.25">
      <c r="G429" s="4">
        <f>IF(D429="","",IF(ISNUMBER(D429),D429,VALUE(SUBSTITUTE(SUBSTITUTE(D429,"$","")," ",""))))</f>
      </c>
    </row>
    <row r="430" ht="15.75" customHeight="1" spans="7:7" x14ac:dyDescent="0.25">
      <c r="G430" s="4">
        <f>IF(D430="","",IF(ISNUMBER(D430),D430,VALUE(SUBSTITUTE(SUBSTITUTE(D430,"$","")," ",""))))</f>
      </c>
    </row>
    <row r="431" ht="15.75" customHeight="1" spans="7:7" x14ac:dyDescent="0.25">
      <c r="G431" s="4">
        <f>IF(D431="","",IF(ISNUMBER(D431),D431,VALUE(SUBSTITUTE(SUBSTITUTE(D431,"$","")," ",""))))</f>
      </c>
    </row>
    <row r="432" ht="15.75" customHeight="1" spans="7:7" x14ac:dyDescent="0.25">
      <c r="G432" s="4">
        <f>IF(D432="","",IF(ISNUMBER(D432),D432,VALUE(SUBSTITUTE(SUBSTITUTE(D432,"$","")," ",""))))</f>
      </c>
    </row>
    <row r="433" ht="15.75" customHeight="1" spans="7:7" x14ac:dyDescent="0.25">
      <c r="G433" s="4">
        <f>IF(D433="","",IF(ISNUMBER(D433),D433,VALUE(SUBSTITUTE(SUBSTITUTE(D433,"$","")," ",""))))</f>
      </c>
    </row>
    <row r="434" ht="15.75" customHeight="1" spans="7:7" x14ac:dyDescent="0.25">
      <c r="G434" s="4">
        <f>IF(D434="","",IF(ISNUMBER(D434),D434,VALUE(SUBSTITUTE(SUBSTITUTE(D434,"$","")," ",""))))</f>
      </c>
    </row>
    <row r="435" ht="15.75" customHeight="1" spans="7:7" x14ac:dyDescent="0.25">
      <c r="G435" s="4">
        <f>IF(D435="","",IF(ISNUMBER(D435),D435,VALUE(SUBSTITUTE(SUBSTITUTE(D435,"$","")," ",""))))</f>
      </c>
    </row>
    <row r="436" ht="15.75" customHeight="1" spans="7:7" x14ac:dyDescent="0.25">
      <c r="G436" s="4">
        <f>IF(D436="","",IF(ISNUMBER(D436),D436,VALUE(SUBSTITUTE(SUBSTITUTE(D436,"$","")," ",""))))</f>
      </c>
    </row>
    <row r="437" ht="15.75" customHeight="1" spans="7:7" x14ac:dyDescent="0.25">
      <c r="G437" s="4">
        <f>IF(D437="","",IF(ISNUMBER(D437),D437,VALUE(SUBSTITUTE(SUBSTITUTE(D437,"$","")," ",""))))</f>
      </c>
    </row>
    <row r="438" ht="15.75" customHeight="1" spans="7:7" x14ac:dyDescent="0.25">
      <c r="G438" s="4">
        <f>IF(D438="","",IF(ISNUMBER(D438),D438,VALUE(SUBSTITUTE(SUBSTITUTE(D438,"$","")," ",""))))</f>
      </c>
    </row>
    <row r="439" ht="15.75" customHeight="1" spans="7:7" x14ac:dyDescent="0.25">
      <c r="G439" s="4">
        <f>IF(D439="","",IF(ISNUMBER(D439),D439,VALUE(SUBSTITUTE(SUBSTITUTE(D439,"$","")," ",""))))</f>
      </c>
    </row>
    <row r="440" ht="15.75" customHeight="1" spans="7:7" x14ac:dyDescent="0.25">
      <c r="G440" s="4">
        <f>IF(D440="","",IF(ISNUMBER(D440),D440,VALUE(SUBSTITUTE(SUBSTITUTE(D440,"$","")," ",""))))</f>
      </c>
    </row>
    <row r="441" ht="15.75" customHeight="1" spans="7:7" x14ac:dyDescent="0.25">
      <c r="G441" s="4">
        <f>IF(D441="","",IF(ISNUMBER(D441),D441,VALUE(SUBSTITUTE(SUBSTITUTE(D441,"$","")," ",""))))</f>
      </c>
    </row>
    <row r="442" ht="15.75" customHeight="1" spans="7:7" x14ac:dyDescent="0.25">
      <c r="G442" s="4">
        <f>IF(D442="","",IF(ISNUMBER(D442),D442,VALUE(SUBSTITUTE(SUBSTITUTE(D442,"$","")," ",""))))</f>
      </c>
    </row>
    <row r="443" ht="15.75" customHeight="1" spans="7:7" x14ac:dyDescent="0.25">
      <c r="G443" s="4">
        <f>IF(D443="","",IF(ISNUMBER(D443),D443,VALUE(SUBSTITUTE(SUBSTITUTE(D443,"$","")," ",""))))</f>
      </c>
    </row>
    <row r="444" ht="15.75" customHeight="1" spans="7:7" x14ac:dyDescent="0.25">
      <c r="G444" s="4">
        <f>IF(D444="","",IF(ISNUMBER(D444),D444,VALUE(SUBSTITUTE(SUBSTITUTE(D444,"$","")," ",""))))</f>
      </c>
    </row>
    <row r="445" ht="15.75" customHeight="1" spans="7:7" x14ac:dyDescent="0.25">
      <c r="G445" s="4">
        <f>IF(D445="","",IF(ISNUMBER(D445),D445,VALUE(SUBSTITUTE(SUBSTITUTE(D445,"$","")," ",""))))</f>
      </c>
    </row>
    <row r="446" ht="15.75" customHeight="1" spans="7:7" x14ac:dyDescent="0.25">
      <c r="G446" s="4">
        <f>IF(D446="","",IF(ISNUMBER(D446),D446,VALUE(SUBSTITUTE(SUBSTITUTE(D446,"$","")," ",""))))</f>
      </c>
    </row>
    <row r="447" ht="15.75" customHeight="1" spans="7:7" x14ac:dyDescent="0.25">
      <c r="G447" s="4">
        <f>IF(D447="","",IF(ISNUMBER(D447),D447,VALUE(SUBSTITUTE(SUBSTITUTE(D447,"$","")," ",""))))</f>
      </c>
    </row>
    <row r="448" ht="15.75" customHeight="1" spans="7:7" x14ac:dyDescent="0.25">
      <c r="G448" s="4">
        <f>IF(D448="","",IF(ISNUMBER(D448),D448,VALUE(SUBSTITUTE(SUBSTITUTE(D448,"$","")," ",""))))</f>
      </c>
    </row>
    <row r="449" ht="15.75" customHeight="1" spans="7:7" x14ac:dyDescent="0.25">
      <c r="G449" s="4">
        <f>IF(D449="","",IF(ISNUMBER(D449),D449,VALUE(SUBSTITUTE(SUBSTITUTE(D449,"$","")," ",""))))</f>
      </c>
    </row>
    <row r="450" ht="15.75" customHeight="1" spans="7:7" x14ac:dyDescent="0.25">
      <c r="G450" s="4">
        <f>IF(D450="","",IF(ISNUMBER(D450),D450,VALUE(SUBSTITUTE(SUBSTITUTE(D450,"$","")," ",""))))</f>
      </c>
    </row>
    <row r="451" ht="15.75" customHeight="1" spans="7:7" x14ac:dyDescent="0.25">
      <c r="G451" s="4">
        <f>IF(D451="","",IF(ISNUMBER(D451),D451,VALUE(SUBSTITUTE(SUBSTITUTE(D451,"$","")," ",""))))</f>
      </c>
    </row>
    <row r="452" ht="15.75" customHeight="1" spans="7:7" x14ac:dyDescent="0.25">
      <c r="G452" s="4">
        <f>IF(D452="","",IF(ISNUMBER(D452),D452,VALUE(SUBSTITUTE(SUBSTITUTE(D452,"$","")," ",""))))</f>
      </c>
    </row>
    <row r="453" ht="15.75" customHeight="1" spans="7:7" x14ac:dyDescent="0.25">
      <c r="G453" s="4">
        <f>IF(D453="","",IF(ISNUMBER(D453),D453,VALUE(SUBSTITUTE(SUBSTITUTE(D453,"$","")," ",""))))</f>
      </c>
    </row>
    <row r="454" ht="15.75" customHeight="1" spans="7:7" x14ac:dyDescent="0.25">
      <c r="G454" s="4">
        <f>IF(D454="","",IF(ISNUMBER(D454),D454,VALUE(SUBSTITUTE(SUBSTITUTE(D454,"$","")," ",""))))</f>
      </c>
    </row>
    <row r="455" ht="15.75" customHeight="1" spans="7:7" x14ac:dyDescent="0.25">
      <c r="G455" s="4">
        <f>IF(D455="","",IF(ISNUMBER(D455),D455,VALUE(SUBSTITUTE(SUBSTITUTE(D455,"$","")," ",""))))</f>
      </c>
    </row>
    <row r="456" ht="15.75" customHeight="1" spans="7:7" x14ac:dyDescent="0.25">
      <c r="G456" s="4">
        <f>IF(D456="","",IF(ISNUMBER(D456),D456,VALUE(SUBSTITUTE(SUBSTITUTE(D456,"$","")," ",""))))</f>
      </c>
    </row>
    <row r="457" ht="15.75" customHeight="1" spans="7:7" x14ac:dyDescent="0.25">
      <c r="G457" s="4">
        <f>IF(D457="","",IF(ISNUMBER(D457),D457,VALUE(SUBSTITUTE(SUBSTITUTE(D457,"$","")," ",""))))</f>
      </c>
    </row>
    <row r="458" ht="15.75" customHeight="1" spans="7:7" x14ac:dyDescent="0.25">
      <c r="G458" s="4">
        <f>IF(D458="","",IF(ISNUMBER(D458),D458,VALUE(SUBSTITUTE(SUBSTITUTE(D458,"$","")," ",""))))</f>
      </c>
    </row>
    <row r="459" ht="15.75" customHeight="1" spans="7:7" x14ac:dyDescent="0.25">
      <c r="G459" s="4">
        <f>IF(D459="","",IF(ISNUMBER(D459),D459,VALUE(SUBSTITUTE(SUBSTITUTE(D459,"$","")," ",""))))</f>
      </c>
    </row>
    <row r="460" ht="15.75" customHeight="1" spans="7:7" x14ac:dyDescent="0.25">
      <c r="G460" s="4">
        <f>IF(D460="","",IF(ISNUMBER(D460),D460,VALUE(SUBSTITUTE(SUBSTITUTE(D460,"$","")," ",""))))</f>
      </c>
    </row>
    <row r="461" ht="15.75" customHeight="1" spans="7:7" x14ac:dyDescent="0.25">
      <c r="G461" s="4">
        <f>IF(D461="","",IF(ISNUMBER(D461),D461,VALUE(SUBSTITUTE(SUBSTITUTE(D461,"$","")," ",""))))</f>
      </c>
    </row>
    <row r="462" ht="15.75" customHeight="1" spans="7:7" x14ac:dyDescent="0.25">
      <c r="G462" s="4">
        <f>IF(D462="","",IF(ISNUMBER(D462),D462,VALUE(SUBSTITUTE(SUBSTITUTE(D462,"$","")," ",""))))</f>
      </c>
    </row>
    <row r="463" ht="15.75" customHeight="1" spans="7:7" x14ac:dyDescent="0.25">
      <c r="G463" s="4">
        <f>IF(D463="","",IF(ISNUMBER(D463),D463,VALUE(SUBSTITUTE(SUBSTITUTE(D463,"$","")," ",""))))</f>
      </c>
    </row>
    <row r="464" ht="15.75" customHeight="1" spans="7:7" x14ac:dyDescent="0.25">
      <c r="G464" s="4">
        <f>IF(D464="","",IF(ISNUMBER(D464),D464,VALUE(SUBSTITUTE(SUBSTITUTE(D464,"$","")," ",""))))</f>
      </c>
    </row>
    <row r="465" ht="15.75" customHeight="1" spans="7:7" x14ac:dyDescent="0.25">
      <c r="G465" s="4">
        <f>IF(D465="","",IF(ISNUMBER(D465),D465,VALUE(SUBSTITUTE(SUBSTITUTE(D465,"$","")," ",""))))</f>
      </c>
    </row>
    <row r="466" ht="15.75" customHeight="1" spans="7:7" x14ac:dyDescent="0.25">
      <c r="G466" s="4">
        <f>IF(D466="","",IF(ISNUMBER(D466),D466,VALUE(SUBSTITUTE(SUBSTITUTE(D466,"$","")," ",""))))</f>
      </c>
    </row>
    <row r="467" ht="15.75" customHeight="1" spans="7:7" x14ac:dyDescent="0.25">
      <c r="G467" s="4">
        <f>IF(D467="","",IF(ISNUMBER(D467),D467,VALUE(SUBSTITUTE(SUBSTITUTE(D467,"$","")," ",""))))</f>
      </c>
    </row>
    <row r="468" ht="15.75" customHeight="1" spans="7:7" x14ac:dyDescent="0.25">
      <c r="G468" s="4">
        <f>IF(D468="","",IF(ISNUMBER(D468),D468,VALUE(SUBSTITUTE(SUBSTITUTE(D468,"$","")," ",""))))</f>
      </c>
    </row>
    <row r="469" ht="15.75" customHeight="1" spans="7:7" x14ac:dyDescent="0.25">
      <c r="G469" s="4">
        <f>IF(D469="","",IF(ISNUMBER(D469),D469,VALUE(SUBSTITUTE(SUBSTITUTE(D469,"$","")," ",""))))</f>
      </c>
    </row>
    <row r="470" ht="15.75" customHeight="1" spans="7:7" x14ac:dyDescent="0.25">
      <c r="G470" s="4">
        <f>IF(D470="","",IF(ISNUMBER(D470),D470,VALUE(SUBSTITUTE(SUBSTITUTE(D470,"$","")," ",""))))</f>
      </c>
    </row>
    <row r="471" ht="15.75" customHeight="1" spans="7:7" x14ac:dyDescent="0.25">
      <c r="G471" s="4">
        <f>IF(D471="","",IF(ISNUMBER(D471),D471,VALUE(SUBSTITUTE(SUBSTITUTE(D471,"$","")," ",""))))</f>
      </c>
    </row>
    <row r="472" ht="15.75" customHeight="1" spans="7:7" x14ac:dyDescent="0.25">
      <c r="G472" s="4">
        <f>IF(D472="","",IF(ISNUMBER(D472),D472,VALUE(SUBSTITUTE(SUBSTITUTE(D472,"$","")," ",""))))</f>
      </c>
    </row>
    <row r="473" ht="15.75" customHeight="1" spans="7:7" x14ac:dyDescent="0.25">
      <c r="G473" s="4">
        <f>IF(D473="","",IF(ISNUMBER(D473),D473,VALUE(SUBSTITUTE(SUBSTITUTE(D473,"$","")," ",""))))</f>
      </c>
    </row>
    <row r="474" ht="15.75" customHeight="1" spans="7:7" x14ac:dyDescent="0.25">
      <c r="G474" s="4">
        <f>IF(D474="","",IF(ISNUMBER(D474),D474,VALUE(SUBSTITUTE(SUBSTITUTE(D474,"$","")," ",""))))</f>
      </c>
    </row>
    <row r="475" ht="15.75" customHeight="1" spans="7:7" x14ac:dyDescent="0.25">
      <c r="G475" s="4">
        <f>IF(D475="","",IF(ISNUMBER(D475),D475,VALUE(SUBSTITUTE(SUBSTITUTE(D475,"$","")," ",""))))</f>
      </c>
    </row>
    <row r="476" ht="15.75" customHeight="1" spans="7:7" x14ac:dyDescent="0.25">
      <c r="G476" s="4">
        <f>IF(D476="","",IF(ISNUMBER(D476),D476,VALUE(SUBSTITUTE(SUBSTITUTE(D476,"$","")," ",""))))</f>
      </c>
    </row>
    <row r="477" ht="15.75" customHeight="1" spans="7:7" x14ac:dyDescent="0.25">
      <c r="G477" s="4">
        <f>IF(D477="","",IF(ISNUMBER(D477),D477,VALUE(SUBSTITUTE(SUBSTITUTE(D477,"$","")," ",""))))</f>
      </c>
    </row>
    <row r="478" ht="15.75" customHeight="1" spans="7:7" x14ac:dyDescent="0.25">
      <c r="G478" s="4">
        <f>IF(D478="","",IF(ISNUMBER(D478),D478,VALUE(SUBSTITUTE(SUBSTITUTE(D478,"$","")," ",""))))</f>
      </c>
    </row>
    <row r="479" ht="15.75" customHeight="1" spans="7:7" x14ac:dyDescent="0.25">
      <c r="G479" s="4">
        <f>IF(D479="","",IF(ISNUMBER(D479),D479,VALUE(SUBSTITUTE(SUBSTITUTE(D479,"$","")," ",""))))</f>
      </c>
    </row>
    <row r="480" ht="15.75" customHeight="1" spans="7:7" x14ac:dyDescent="0.25">
      <c r="G480" s="4">
        <f>IF(D480="","",IF(ISNUMBER(D480),D480,VALUE(SUBSTITUTE(SUBSTITUTE(D480,"$","")," ",""))))</f>
      </c>
    </row>
    <row r="481" ht="15.75" customHeight="1" spans="7:7" x14ac:dyDescent="0.25">
      <c r="G481" s="4">
        <f>IF(D481="","",IF(ISNUMBER(D481),D481,VALUE(SUBSTITUTE(SUBSTITUTE(D481,"$","")," ",""))))</f>
      </c>
    </row>
    <row r="482" ht="15.75" customHeight="1" spans="7:7" x14ac:dyDescent="0.25">
      <c r="G482" s="4">
        <f>IF(D482="","",IF(ISNUMBER(D482),D482,VALUE(SUBSTITUTE(SUBSTITUTE(D482,"$","")," ",""))))</f>
      </c>
    </row>
    <row r="483" ht="15.75" customHeight="1" spans="7:7" x14ac:dyDescent="0.25">
      <c r="G483" s="4">
        <f>IF(D483="","",IF(ISNUMBER(D483),D483,VALUE(SUBSTITUTE(SUBSTITUTE(D483,"$","")," ",""))))</f>
      </c>
    </row>
    <row r="484" ht="15.75" customHeight="1" spans="7:7" x14ac:dyDescent="0.25">
      <c r="G484" s="4">
        <f>IF(D484="","",IF(ISNUMBER(D484),D484,VALUE(SUBSTITUTE(SUBSTITUTE(D484,"$","")," ",""))))</f>
      </c>
    </row>
    <row r="485" ht="15.75" customHeight="1" spans="7:7" x14ac:dyDescent="0.25">
      <c r="G485" s="4">
        <f>IF(D485="","",IF(ISNUMBER(D485),D485,VALUE(SUBSTITUTE(SUBSTITUTE(D485,"$","")," ",""))))</f>
      </c>
    </row>
    <row r="486" ht="15.75" customHeight="1" spans="7:7" x14ac:dyDescent="0.25">
      <c r="G486" s="4">
        <f>IF(D486="","",IF(ISNUMBER(D486),D486,VALUE(SUBSTITUTE(SUBSTITUTE(D486,"$","")," ",""))))</f>
      </c>
    </row>
    <row r="487" ht="15.75" customHeight="1" spans="7:7" x14ac:dyDescent="0.25">
      <c r="G487" s="4">
        <f>IF(D487="","",IF(ISNUMBER(D487),D487,VALUE(SUBSTITUTE(SUBSTITUTE(D487,"$","")," ",""))))</f>
      </c>
    </row>
    <row r="488" ht="15.75" customHeight="1" spans="7:7" x14ac:dyDescent="0.25">
      <c r="G488" s="4">
        <f>IF(D488="","",IF(ISNUMBER(D488),D488,VALUE(SUBSTITUTE(SUBSTITUTE(D488,"$","")," ",""))))</f>
      </c>
    </row>
    <row r="489" ht="15.75" customHeight="1" spans="7:7" x14ac:dyDescent="0.25">
      <c r="G489" s="4">
        <f>IF(D489="","",IF(ISNUMBER(D489),D489,VALUE(SUBSTITUTE(SUBSTITUTE(D489,"$","")," ",""))))</f>
      </c>
    </row>
    <row r="490" ht="15.75" customHeight="1" spans="7:7" x14ac:dyDescent="0.25">
      <c r="G490" s="4">
        <f>IF(D490="","",IF(ISNUMBER(D490),D490,VALUE(SUBSTITUTE(SUBSTITUTE(D490,"$","")," ",""))))</f>
      </c>
    </row>
    <row r="491" ht="15.75" customHeight="1" spans="7:7" x14ac:dyDescent="0.25">
      <c r="G491" s="4">
        <f>IF(D491="","",IF(ISNUMBER(D491),D491,VALUE(SUBSTITUTE(SUBSTITUTE(D491,"$","")," ",""))))</f>
      </c>
    </row>
    <row r="492" ht="15.75" customHeight="1" spans="7:7" x14ac:dyDescent="0.25">
      <c r="G492" s="4">
        <f>IF(D492="","",IF(ISNUMBER(D492),D492,VALUE(SUBSTITUTE(SUBSTITUTE(D492,"$","")," ",""))))</f>
      </c>
    </row>
    <row r="493" ht="15.75" customHeight="1" spans="7:7" x14ac:dyDescent="0.25">
      <c r="G493" s="4">
        <f>IF(D493="","",IF(ISNUMBER(D493),D493,VALUE(SUBSTITUTE(SUBSTITUTE(D493,"$","")," ",""))))</f>
      </c>
    </row>
    <row r="494" ht="15.75" customHeight="1" spans="7:7" x14ac:dyDescent="0.25">
      <c r="G494" s="4">
        <f>IF(D494="","",IF(ISNUMBER(D494),D494,VALUE(SUBSTITUTE(SUBSTITUTE(D494,"$","")," ",""))))</f>
      </c>
    </row>
    <row r="495" ht="15.75" customHeight="1" spans="7:7" x14ac:dyDescent="0.25">
      <c r="G495" s="4">
        <f>IF(D495="","",IF(ISNUMBER(D495),D495,VALUE(SUBSTITUTE(SUBSTITUTE(D495,"$","")," ",""))))</f>
      </c>
    </row>
    <row r="496" ht="15.75" customHeight="1" spans="7:7" x14ac:dyDescent="0.25">
      <c r="G496" s="4">
        <f>IF(D496="","",IF(ISNUMBER(D496),D496,VALUE(SUBSTITUTE(SUBSTITUTE(D496,"$","")," ",""))))</f>
      </c>
    </row>
    <row r="497" ht="15.75" customHeight="1" spans="7:7" x14ac:dyDescent="0.25">
      <c r="G497" s="4">
        <f>IF(D497="","",IF(ISNUMBER(D497),D497,VALUE(SUBSTITUTE(SUBSTITUTE(D497,"$","")," ",""))))</f>
      </c>
    </row>
    <row r="498" ht="15.75" customHeight="1" spans="7:7" x14ac:dyDescent="0.25">
      <c r="G498" s="4">
        <f>IF(D498="","",IF(ISNUMBER(D498),D498,VALUE(SUBSTITUTE(SUBSTITUTE(D498,"$","")," ",""))))</f>
      </c>
    </row>
    <row r="499" ht="15.75" customHeight="1" spans="7:7" x14ac:dyDescent="0.25">
      <c r="G499" s="4">
        <f>IF(D499="","",IF(ISNUMBER(D499),D499,VALUE(SUBSTITUTE(SUBSTITUTE(D499,"$","")," ",""))))</f>
      </c>
    </row>
    <row r="500" ht="15.75" customHeight="1" spans="7:7" x14ac:dyDescent="0.25">
      <c r="G500" s="4">
        <f>IF(D500="","",IF(ISNUMBER(D500),D500,VALUE(SUBSTITUTE(SUBSTITUTE(D500,"$","")," ",""))))</f>
      </c>
    </row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1" customWidth="1"/>
    <col min="2" max="2" width="19.14" customWidth="1"/>
    <col min="3" max="3" width="15" customWidth="1"/>
    <col min="4" max="4" width="14.14" customWidth="1"/>
    <col min="5" max="5" width="15.14" customWidth="1"/>
    <col min="6" max="6" width="26.86" customWidth="1"/>
    <col min="7" max="26" width="8.71" customWidth="1"/>
  </cols>
  <sheetData>
    <row r="1" spans="1:6" x14ac:dyDescent="0.25">
      <c r="A1" s="1" t="s">
        <v>19</v>
      </c>
      <c r="B1" s="1" t="s">
        <v>51</v>
      </c>
      <c r="C1" s="1" t="s">
        <v>52</v>
      </c>
      <c r="D1" s="1" t="s">
        <v>22</v>
      </c>
      <c r="E1" s="1" t="s">
        <v>23</v>
      </c>
      <c r="F1" s="1" t="s">
        <v>53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" outlineLevelRow="0" outlineLevelCol="0" x14ac:dyDescent="0" defaultColWidth="14.43"/>
  <sheetData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8.71" customWidth="1"/>
  </cols>
  <sheetData>
    <row r="1" spans="1:5" x14ac:dyDescent="0.25">
      <c r="A1" s="1" t="s">
        <v>19</v>
      </c>
      <c r="B1" s="1" t="s">
        <v>54</v>
      </c>
      <c r="C1" s="1" t="s">
        <v>55</v>
      </c>
      <c r="D1" s="1" t="s">
        <v>56</v>
      </c>
      <c r="E1" s="1" t="s">
        <v>57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8.71" customWidth="1"/>
  </cols>
  <sheetData>
    <row r="1" spans="1:5" x14ac:dyDescent="0.25">
      <c r="A1" s="1" t="s">
        <v>58</v>
      </c>
      <c r="B1" s="1" t="s">
        <v>59</v>
      </c>
      <c r="C1" s="1" t="s">
        <v>60</v>
      </c>
      <c r="D1" s="1" t="s">
        <v>55</v>
      </c>
      <c r="E1" s="1" t="s">
        <v>61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8.71" customWidth="1"/>
  </cols>
  <sheetData>
    <row r="1" spans="1:5" x14ac:dyDescent="0.25">
      <c r="A1" s="1" t="s">
        <v>19</v>
      </c>
      <c r="B1" s="1" t="s">
        <v>62</v>
      </c>
      <c r="C1" s="1" t="s">
        <v>63</v>
      </c>
      <c r="D1" s="1" t="s">
        <v>64</v>
      </c>
      <c r="E1" s="1" t="s">
        <v>53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 zoomScale="100" zoomScaleNormal="100"/>
  </sheetViews>
  <sheetFormatPr defaultRowHeight="15" outlineLevelRow="0" outlineLevelCol="0" x14ac:dyDescent="0" defaultColWidth="14.43"/>
  <cols>
    <col min="1" max="1" width="30.29" customWidth="1"/>
    <col min="2" max="2" width="17.57" customWidth="1"/>
    <col min="3" max="26" width="8.71" customWidth="1"/>
  </cols>
  <sheetData>
    <row r="1" spans="1:3" x14ac:dyDescent="0.25">
      <c r="A1" s="1" t="s">
        <v>65</v>
      </c>
      <c r="B1" s="1" t="s">
        <v>66</v>
      </c>
      <c r="C1" s="1" t="s">
        <v>67</v>
      </c>
    </row>
    <row r="2" spans="1:2" x14ac:dyDescent="0.25">
      <c r="A2" s="2" t="s">
        <v>68</v>
      </c>
      <c r="B2" s="2" t="s">
        <v>69</v>
      </c>
    </row>
    <row r="3" spans="1:2" x14ac:dyDescent="0.25">
      <c r="A3" s="2" t="s">
        <v>70</v>
      </c>
      <c r="B3" s="2" t="s">
        <v>69</v>
      </c>
    </row>
    <row r="4" spans="1:2" x14ac:dyDescent="0.25">
      <c r="A4" s="2" t="s">
        <v>71</v>
      </c>
      <c r="B4" s="2" t="s">
        <v>69</v>
      </c>
    </row>
    <row r="5" spans="1:2" x14ac:dyDescent="0.25">
      <c r="A5" s="2" t="s">
        <v>72</v>
      </c>
      <c r="B5" s="2" t="s">
        <v>73</v>
      </c>
    </row>
    <row r="6" spans="1:2" x14ac:dyDescent="0.25">
      <c r="A6" s="2" t="s">
        <v>74</v>
      </c>
      <c r="B6" s="2" t="s">
        <v>73</v>
      </c>
    </row>
    <row r="7" spans="1:2" x14ac:dyDescent="0.25">
      <c r="A7" s="2" t="s">
        <v>75</v>
      </c>
      <c r="B7" s="2" t="s">
        <v>73</v>
      </c>
    </row>
    <row r="8" spans="1:2" x14ac:dyDescent="0.25">
      <c r="A8" s="2" t="s">
        <v>76</v>
      </c>
      <c r="B8" s="2" t="s">
        <v>73</v>
      </c>
    </row>
    <row r="9" spans="1:2" x14ac:dyDescent="0.25">
      <c r="A9" s="2" t="s">
        <v>77</v>
      </c>
      <c r="B9" s="2" t="s">
        <v>73</v>
      </c>
    </row>
    <row r="10" spans="1:2" x14ac:dyDescent="0.25">
      <c r="A10" s="2" t="s">
        <v>78</v>
      </c>
      <c r="B10" s="2" t="s">
        <v>79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Tableau de bord</vt:lpstr>
      <vt:lpstr>Ventes</vt:lpstr>
      <vt:lpstr>Dépenses</vt:lpstr>
      <vt:lpstr>Feuille 1</vt:lpstr>
      <vt:lpstr>Opportunités</vt:lpstr>
      <vt:lpstr>Collaborations</vt:lpstr>
      <vt:lpstr>Équipement</vt:lpstr>
      <vt:lpstr>Checklist CEO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2026-08-01T01:30:17Z</dcterms:created>
  <dcterms:modified xsi:type="dcterms:W3CDTF">2026-08-08T15:14:30Z</dcterms:modified>
</cp:coreProperties>
</file>